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521a2d2e47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8011e16cf2f47b1"/>
    <x:sheet xmlns:r="http://schemas.openxmlformats.org/officeDocument/2006/relationships" name="Cost Model" sheetId="2" r:id="Rb120d113cdbd4f16"/>
    <x:sheet xmlns:r="http://schemas.openxmlformats.org/officeDocument/2006/relationships" name="Assumptions" sheetId="3" r:id="R830fc04d095d4f40"/>
    <x:sheet xmlns:r="http://schemas.openxmlformats.org/officeDocument/2006/relationships" name="Clarifying Questions" sheetId="4" r:id="R75e7fa22a9c040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$#,##0"/>
    <x:numFmt numFmtId="202" formatCode="0.0%"/>
    <x:numFmt numFmtId="203" formatCode="#,##0"/>
  </x:numFmts>
  <x:fonts count="6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0"/>
      <x:color rgb="FFFFFF"/>
      <x:name val="Arial"/>
    </x:font>
    <x:font>
      <x:sz val="10"/>
      <x:name val="Arial"/>
    </x:font>
    <x:font>
      <x:b/>
      <x:sz val="16"/>
      <x:color rgb="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1F2937"/>
      </x:patternFill>
    </x:fill>
  </x:fills>
  <x:borders count="1">
    <x:border/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 vertical="top"/>
    </x:xf>
    <x:xf numFmtId="0" fontId="4" fillId="0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/>
    </x:xf>
    <x:xf numFmtId="202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left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8fb70533d4ed1" /><Relationship Type="http://schemas.openxmlformats.org/officeDocument/2006/relationships/theme" Target="/xl/theme/theme1.xml" Id="Rce35548eba8947b2" /><Relationship Type="http://schemas.openxmlformats.org/officeDocument/2006/relationships/sharedStrings" Target="/xl/sharedStrings.xml" Id="R2c9a8d9bb6434996" /><Relationship Type="http://schemas.openxmlformats.org/officeDocument/2006/relationships/worksheet" Target="/xl/worksheets/sheet1.xml" Id="Rd8011e16cf2f47b1" /><Relationship Type="http://schemas.openxmlformats.org/officeDocument/2006/relationships/worksheet" Target="/xl/worksheets/sheet2.xml" Id="Rb120d113cdbd4f16" /><Relationship Type="http://schemas.openxmlformats.org/officeDocument/2006/relationships/worksheet" Target="/xl/worksheets/sheet3.xml" Id="R830fc04d095d4f40" /><Relationship Type="http://schemas.openxmlformats.org/officeDocument/2006/relationships/worksheet" Target="/xl/worksheets/sheet4.xml" Id="R75e7fa22a9c040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47dce8994c4649" /><Relationship Type="http://schemas.openxmlformats.org/officeDocument/2006/relationships/chart" Target="/xl/drawings/charts/chart2.xml" Id="R664573e93116459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 vs Cost by Paying Users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Revenue</c:v>
          </c:tx>
          <c:cat>
            <c:strRef>
              <c:f>'Dashboard'!$A$13:$A$26</c:f>
              <c:strCache>
                <c:ptCount val="0"/>
              </c:strCache>
            </c:strRef>
          </c:cat>
          <c:val>
            <c:numRef>
              <c:f>'Dashboard'!$B$13:$B$26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Software COGS</c:v>
          </c:tx>
          <c:cat>
            <c:strRef>
              <c:f>'Dashboard'!$A$13:$A$26</c:f>
              <c:strCache>
                <c:ptCount val="0"/>
              </c:strCache>
            </c:strRef>
          </c:cat>
          <c:val>
            <c:numRef>
              <c:f>'Dashboard'!$C$13:$C$26</c:f>
              <c:numCache>
                <c:formatCode>$#,##0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Total Operating Cost</c:v>
          </c:tx>
          <c:cat>
            <c:strRef>
              <c:f>'Dashboard'!$A$13:$A$26</c:f>
              <c:strCache>
                <c:ptCount val="0"/>
              </c:strCache>
            </c:strRef>
          </c:cat>
          <c:val>
            <c:numRef>
              <c:f>'Dashboard'!$D$13:$D$26</c:f>
              <c:numCache>
                <c:formatCode>$#,##0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Operating Profit</c:v>
          </c:tx>
          <c:cat>
            <c:strRef>
              <c:f>'Dashboard'!$A$13:$A$26</c:f>
              <c:strCache>
                <c:ptCount val="0"/>
              </c:strCache>
            </c:strRef>
          </c:cat>
          <c:val>
            <c:numRef>
              <c:f>'Dashboard'!$E$13:$E$26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Software Gross Margin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0%</c:formatCode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11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47dce8994c4649"/>
        </a:graphicData>
      </a:graphic>
    </xdr:graphicFrame>
    <xdr:clientData/>
  </xdr:twoCellAnchor>
  <xdr:twoCellAnchor>
    <xdr:from>
      <xdr:col>7</xdr:col>
      <xdr:colOff>0</xdr:colOff>
      <xdr:row>29</xdr:row>
      <xdr:rowOff>0</xdr:rowOff>
    </xdr:from>
    <xdr:to>
      <xdr:col>13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4573e93116459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7e73e013d4d4b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970001220703125" hidden="0" customWidth="1"/>
    <x:col min="2" max="2" width="23.549999237060547" hidden="0" customWidth="1"/>
    <x:col min="3" max="3" width="69.30999755859375" hidden="0" customWidth="1"/>
  </x:cols>
  <x:sheetData>
    <x:row r="1" ht="25.5" customHeight="1">
      <x:c r="A1" s="41" t="str">
        <x:v>YouTube Outlier SaaS Cost Simulation: Base Case</x:v>
      </x:c>
      <x:c r="B1" s="41" t="str">
        <x:v>YouTube Outlier SaaS Cost Simulation: Base Case</x:v>
      </x:c>
      <x:c r="C1" s="41" t="str">
        <x:v>YouTube Outlier SaaS Cost Simulation: Base Case</x:v>
      </x:c>
      <x:c r="D1" s="41" t="str">
        <x:v>YouTube Outlier SaaS Cost Simulation: Base Case</x:v>
      </x:c>
      <x:c r="E1" s="41" t="str">
        <x:v>YouTube Outlier SaaS Cost Simulation: Base Case</x:v>
      </x:c>
      <x:c r="F1" s="41" t="str">
        <x:v>YouTube Outlier SaaS Cost Simulation: Base Case</x:v>
      </x:c>
      <x:c r="G1" s="41" t="str">
        <x:v>YouTube Outlier SaaS Cost Simulation: Base Case</x:v>
      </x:c>
      <x:c r="H1" s="41" t="str">
        <x:v>YouTube Outlier SaaS Cost Simulation: Base Case</x:v>
      </x:c>
      <x:c r="I1" s="41" t="str">
        <x:v>YouTube Outlier SaaS Cost Simulation: Base Case</x:v>
      </x:c>
      <x:c r="J1" s="41" t="str">
        <x:v>YouTube Outlier SaaS Cost Simulation: Base Case</x:v>
      </x:c>
      <x:c r="K1" s="41" t="str">
        <x:v>YouTube Outlier SaaS Cost Simulation: Base Case</x:v>
      </x:c>
      <x:c r="L1" s="41" t="str">
        <x:v>YouTube Outlier SaaS Cost Simulation: Base Case</x:v>
      </x:c>
      <x:c r="M1" s="41" t="str">
        <x:v>YouTube Outlier SaaS Cost Simulation: Base Case</x:v>
      </x:c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</x:row>
    <x:row r="3">
      <x:c r="A3" s="33" t="str">
        <x:v>Metric</x:v>
      </x:c>
      <x:c r="B3" s="33" t="str">
        <x:v>Result</x:v>
      </x:c>
      <x:c r="C3" s="33" t="str">
        <x:v>Interpretation</x:v>
      </x:c>
      <x:c r="D3" s="32"/>
      <x:c r="E3" s="32"/>
      <x:c r="F3" s="32"/>
      <x:c r="G3" s="32"/>
      <x:c r="H3" s="32"/>
      <x:c r="I3" s="32"/>
      <x:c r="J3" s="32"/>
      <x:c r="K3" s="32"/>
      <x:c r="L3" s="32"/>
      <x:c r="M3" s="32"/>
    </x:row>
    <x:row r="4">
      <x:c r="A4" s="34" t="str">
        <x:v>Break-even users including team</x:v>
      </x:c>
      <x:c r="B4" s="35" t="n">
        <x:f>INDEX('Cost Model'!A4:A17,MATCH(TRUE,'Cost Model'!AA4:AA17&gt;0,0))</x:f>
        <x:v>750</x:v>
      </x:c>
      <x:c r="C4" s="34" t="str">
        <x:v>Users needed for operating profit to turn positive.</x:v>
      </x:c>
      <x:c r="D4" s="32"/>
      <x:c r="E4" s="32"/>
      <x:c r="F4" s="32"/>
      <x:c r="G4" s="32"/>
      <x:c r="H4" s="32"/>
      <x:c r="I4" s="32"/>
      <x:c r="J4" s="32"/>
      <x:c r="K4" s="32"/>
      <x:c r="L4" s="32"/>
      <x:c r="M4" s="32"/>
    </x:row>
    <x:row r="5">
      <x:c r="A5" s="34" t="str">
        <x:v>Software COGS margin at 15,000 users</x:v>
      </x:c>
      <x:c r="B5" s="36" t="n">
        <x:f>'Cost Model'!X17</x:f>
        <x:v>0.9491944575163398</x:v>
      </x:c>
      <x:c r="C5" s="34" t="str">
        <x:v>Gross margin before team/support payroll.</x:v>
      </x:c>
      <x:c r="D5" s="32"/>
      <x:c r="E5" s="32"/>
      <x:c r="F5" s="32"/>
      <x:c r="G5" s="32"/>
      <x:c r="H5" s="32"/>
      <x:c r="I5" s="32"/>
      <x:c r="J5" s="32"/>
      <x:c r="K5" s="32"/>
      <x:c r="L5" s="32"/>
      <x:c r="M5" s="32"/>
    </x:row>
    <x:row r="6">
      <x:c r="A6" s="34" t="str">
        <x:v>Operating profit at 15,000 users</x:v>
      </x:c>
      <x:c r="B6" s="37" t="n">
        <x:f>'Cost Model'!AA17</x:f>
        <x:v>703023.14</x:v>
      </x:c>
      <x:c r="C6" s="34" t="str">
        <x:v>Net monthly result after software COGS, Stripe, and team/ops.</x:v>
      </x:c>
      <x:c r="D6" s="32"/>
      <x:c r="E6" s="32"/>
      <x:c r="F6" s="32"/>
      <x:c r="G6" s="32"/>
      <x:c r="H6" s="32"/>
      <x:c r="I6" s="32"/>
      <x:c r="J6" s="32"/>
      <x:c r="K6" s="32"/>
      <x:c r="L6" s="32"/>
      <x:c r="M6" s="32"/>
    </x:row>
    <x:row r="7">
      <x:c r="A7" s="34" t="str">
        <x:v>Estimated software COGS at 15,000 users</x:v>
      </x:c>
      <x:c r="B7" s="37" t="n">
        <x:f>'Cost Model'!W17</x:f>
        <x:v>58299.36</x:v>
      </x:c>
      <x:c r="C7" s="34" t="str">
        <x:v>Infrastructure, AI, exports, email, monitoring, contingency.</x:v>
      </x:c>
      <x:c r="D7" s="32"/>
      <x:c r="E7" s="32"/>
      <x:c r="F7" s="32"/>
      <x:c r="G7" s="32"/>
      <x:c r="H7" s="32"/>
      <x:c r="I7" s="32"/>
      <x:c r="J7" s="32"/>
      <x:c r="K7" s="32"/>
      <x:c r="L7" s="32"/>
      <x:c r="M7" s="32"/>
    </x:row>
    <x:row r="8">
      <x:c r="A8" s="34" t="str">
        <x:v>Estimated total operating cost at 15,000 users</x:v>
      </x:c>
      <x:c r="B8" s="37" t="n">
        <x:f>'Cost Model'!Z17</x:f>
        <x:v>405799.36</x:v>
      </x:c>
      <x:c r="C8" s="34" t="str">
        <x:v>Software COGS plus serious SaaS team/support operations.</x:v>
      </x:c>
      <x:c r="D8" s="32"/>
      <x:c r="E8" s="32"/>
      <x:c r="F8" s="32"/>
      <x:c r="G8" s="32"/>
      <x:c r="H8" s="32"/>
      <x:c r="I8" s="32"/>
      <x:c r="J8" s="32"/>
      <x:c r="K8" s="32"/>
      <x:c r="L8" s="32"/>
      <x:c r="M8" s="32"/>
    </x:row>
    <x:row r="9">
      <x:c r="A9" s="34" t="str">
        <x:v>Main feasibility bottleneck</x:v>
      </x:c>
      <x:c r="B9" s="34" t="str">
        <x:v>YouTube quota + transcript access</x:v>
      </x:c>
      <x:c r="C9" s="34" t="str">
        <x:v>Must cache globally and avoid duplicated fetches.</x:v>
      </x:c>
      <x:c r="D9" s="32"/>
      <x:c r="E9" s="32"/>
      <x:c r="F9" s="32"/>
      <x:c r="G9" s="32"/>
      <x:c r="H9" s="32"/>
      <x:c r="I9" s="32"/>
      <x:c r="J9" s="32"/>
      <x:c r="K9" s="32"/>
      <x:c r="L9" s="32"/>
      <x:c r="M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</x:row>
    <x:row r="12">
      <x:c r="A12" s="33" t="str">
        <x:v>Users</x:v>
      </x:c>
      <x:c r="B12" s="33" t="str">
        <x:v>Revenue</x:v>
      </x:c>
      <x:c r="C12" s="33" t="str">
        <x:v>Software COGS</x:v>
      </x:c>
      <x:c r="D12" s="33" t="str">
        <x:v>Total Operating Cost</x:v>
      </x:c>
      <x:c r="E12" s="33" t="str">
        <x:v>Operating Profit</x:v>
      </x:c>
      <x:c r="F12" s="33" t="str">
        <x:v>Gross Margin</x:v>
      </x:c>
      <x:c r="G12" s="32"/>
      <x:c r="H12" s="32"/>
      <x:c r="I12" s="32"/>
      <x:c r="J12" s="32"/>
      <x:c r="K12" s="32"/>
      <x:c r="L12" s="32"/>
      <x:c r="M12" s="32"/>
    </x:row>
    <x:row r="13">
      <x:c r="A13" s="32" t="n">
        <x:f>'Cost Model'!A4</x:f>
        <x:v>0</x:v>
      </x:c>
      <x:c r="B13" s="38" t="n">
        <x:f>'Cost Model'!C4</x:f>
        <x:v>0</x:v>
      </x:c>
      <x:c r="C13" s="38" t="n">
        <x:f>'Cost Model'!W4</x:f>
        <x:v>1086</x:v>
      </x:c>
      <x:c r="D13" s="38" t="n">
        <x:f>'Cost Model'!Z4</x:f>
        <x:v>36086</x:v>
      </x:c>
      <x:c r="E13" s="38" t="n">
        <x:f>'Cost Model'!AA4</x:f>
        <x:v>-36086</x:v>
      </x:c>
      <x:c r="F13" s="39" t="n">
        <x:f>'Cost Model'!X4</x:f>
        <x:v>0</x:v>
      </x:c>
      <x:c r="G13" s="32"/>
      <x:c r="H13" s="32"/>
      <x:c r="I13" s="32"/>
      <x:c r="J13" s="32"/>
      <x:c r="K13" s="32"/>
      <x:c r="L13" s="32"/>
      <x:c r="M13" s="32"/>
    </x:row>
    <x:row r="14">
      <x:c r="A14" s="32" t="n">
        <x:f>'Cost Model'!A5</x:f>
        <x:v>100</x:v>
      </x:c>
      <x:c r="B14" s="38" t="n">
        <x:f>'Cost Model'!C5</x:f>
        <x:v>7650</x:v>
      </x:c>
      <x:c r="C14" s="38" t="n">
        <x:f>'Cost Model'!W5</x:f>
        <x:v>1549.29</x:v>
      </x:c>
      <x:c r="D14" s="38" t="n">
        <x:f>'Cost Model'!Z5</x:f>
        <x:v>36899.29</x:v>
      </x:c>
      <x:c r="E14" s="38" t="n">
        <x:f>'Cost Model'!AA5</x:f>
        <x:v>-29507.14</x:v>
      </x:c>
      <x:c r="F14" s="39" t="n">
        <x:f>'Cost Model'!X5</x:f>
        <x:v>0.797478431372549</x:v>
      </x:c>
      <x:c r="G14" s="32"/>
      <x:c r="H14" s="32"/>
      <x:c r="I14" s="32"/>
      <x:c r="J14" s="32"/>
      <x:c r="K14" s="32"/>
      <x:c r="L14" s="32"/>
      <x:c r="M14" s="32"/>
    </x:row>
    <x:row r="15">
      <x:c r="A15" s="32" t="n">
        <x:f>'Cost Model'!A6</x:f>
        <x:v>250</x:v>
      </x:c>
      <x:c r="B15" s="38" t="n">
        <x:f>'Cost Model'!C6</x:f>
        <x:v>19125</x:v>
      </x:c>
      <x:c r="C15" s="38" t="n">
        <x:f>'Cost Model'!W6</x:f>
        <x:v>2191.8900000000003</x:v>
      </x:c>
      <x:c r="D15" s="38" t="n">
        <x:f>'Cost Model'!Z6</x:f>
        <x:v>38066.89</x:v>
      </x:c>
      <x:c r="E15" s="38" t="n">
        <x:f>'Cost Model'!AA6</x:f>
        <x:v>-19586.515</x:v>
      </x:c>
      <x:c r="F15" s="39" t="n">
        <x:f>'Cost Model'!X6</x:f>
        <x:v>0.8853913725490197</x:v>
      </x:c>
      <x:c r="G15" s="32"/>
      <x:c r="H15" s="32"/>
      <x:c r="I15" s="32"/>
      <x:c r="J15" s="32"/>
      <x:c r="K15" s="32"/>
      <x:c r="L15" s="32"/>
      <x:c r="M15" s="32"/>
    </x:row>
    <x:row r="16">
      <x:c r="A16" s="32" t="n">
        <x:f>'Cost Model'!A7</x:f>
        <x:v>500</x:v>
      </x:c>
      <x:c r="B16" s="38" t="n">
        <x:f>'Cost Model'!C7</x:f>
        <x:v>38250</x:v>
      </x:c>
      <x:c r="C16" s="38" t="n">
        <x:f>'Cost Model'!W7</x:f>
        <x:v>3224.79</x:v>
      </x:c>
      <x:c r="D16" s="38" t="n">
        <x:f>'Cost Model'!Z7</x:f>
        <x:v>39974.79</x:v>
      </x:c>
      <x:c r="E16" s="38" t="n">
        <x:f>'Cost Model'!AA7</x:f>
        <x:v>-3014.040000000001</x:v>
      </x:c>
      <x:c r="F16" s="39" t="n">
        <x:f>'Cost Model'!X7</x:f>
        <x:v>0.9156917647058823</x:v>
      </x:c>
      <x:c r="G16" s="32"/>
      <x:c r="H16" s="32"/>
      <x:c r="I16" s="32"/>
      <x:c r="J16" s="32"/>
      <x:c r="K16" s="32"/>
      <x:c r="L16" s="32"/>
      <x:c r="M16" s="32"/>
    </x:row>
    <x:row r="17">
      <x:c r="A17" s="32" t="n">
        <x:f>'Cost Model'!A8</x:f>
        <x:v>750</x:v>
      </x:c>
      <x:c r="B17" s="38" t="n">
        <x:f>'Cost Model'!C8</x:f>
        <x:v>57375</x:v>
      </x:c>
      <x:c r="C17" s="38" t="n">
        <x:f>'Cost Model'!W8</x:f>
        <x:v>4239.15</x:v>
      </x:c>
      <x:c r="D17" s="38" t="n">
        <x:f>'Cost Model'!Z8</x:f>
        <x:v>41864.15</x:v>
      </x:c>
      <x:c r="E17" s="38" t="n">
        <x:f>'Cost Model'!AA8</x:f>
        <x:v>13576.974999999999</x:v>
      </x:c>
      <x:c r="F17" s="39" t="n">
        <x:f>'Cost Model'!X8</x:f>
        <x:v>0.9261150326797385</x:v>
      </x:c>
      <x:c r="G17" s="32"/>
      <x:c r="H17" s="32"/>
      <x:c r="I17" s="32"/>
      <x:c r="J17" s="32"/>
      <x:c r="K17" s="32"/>
      <x:c r="L17" s="32"/>
      <x:c r="M17" s="32"/>
    </x:row>
    <x:row r="18">
      <x:c r="A18" s="32" t="n">
        <x:f>'Cost Model'!A9</x:f>
        <x:v>1000</x:v>
      </x:c>
      <x:c r="B18" s="38" t="n">
        <x:f>'Cost Model'!C9</x:f>
        <x:v>76500</x:v>
      </x:c>
      <x:c r="C18" s="38" t="n">
        <x:f>'Cost Model'!W9</x:f>
        <x:v>5239.379999999999</x:v>
      </x:c>
      <x:c r="D18" s="38" t="n">
        <x:f>'Cost Model'!Z9</x:f>
        <x:v>73739.38</x:v>
      </x:c>
      <x:c r="E18" s="38" t="n">
        <x:f>'Cost Model'!AA9</x:f>
        <x:v>182.11999999999534</x:v>
      </x:c>
      <x:c r="F18" s="39" t="n">
        <x:f>'Cost Model'!X9</x:f>
        <x:v>0.9315113725490195</x:v>
      </x:c>
      <x:c r="G18" s="32"/>
      <x:c r="H18" s="32"/>
      <x:c r="I18" s="32"/>
      <x:c r="J18" s="32"/>
      <x:c r="K18" s="32"/>
      <x:c r="L18" s="32"/>
      <x:c r="M18" s="32"/>
    </x:row>
    <x:row r="19">
      <x:c r="A19" s="32" t="n">
        <x:f>'Cost Model'!A10</x:f>
        <x:v>1500</x:v>
      </x:c>
      <x:c r="B19" s="38" t="n">
        <x:f>'Cost Model'!C10</x:f>
        <x:v>114750</x:v>
      </x:c>
      <x:c r="C19" s="38" t="n">
        <x:f>'Cost Model'!W10</x:f>
        <x:v>7217.16</x:v>
      </x:c>
      <x:c r="D19" s="38" t="n">
        <x:f>'Cost Model'!Z10</x:f>
        <x:v>77467.16</x:v>
      </x:c>
      <x:c r="E19" s="38" t="n">
        <x:f>'Cost Model'!AA10</x:f>
        <x:v>33415.09</x:v>
      </x:c>
      <x:c r="F19" s="39" t="n">
        <x:f>'Cost Model'!X10</x:f>
        <x:v>0.9371053594771241</x:v>
      </x:c>
      <x:c r="G19" s="32"/>
      <x:c r="H19" s="32"/>
      <x:c r="I19" s="32"/>
      <x:c r="J19" s="32"/>
      <x:c r="K19" s="32"/>
      <x:c r="L19" s="32"/>
      <x:c r="M19" s="32"/>
    </x:row>
    <x:row r="20">
      <x:c r="A20" s="32" t="n">
        <x:f>'Cost Model'!A11</x:f>
        <x:v>2000</x:v>
      </x:c>
      <x:c r="B20" s="38" t="n">
        <x:f>'Cost Model'!C11</x:f>
        <x:v>153000</x:v>
      </x:c>
      <x:c r="C20" s="38" t="n">
        <x:f>'Cost Model'!W11</x:f>
        <x:v>9173.52</x:v>
      </x:c>
      <x:c r="D20" s="38" t="n">
        <x:f>'Cost Model'!Z11</x:f>
        <x:v>81173.52</x:v>
      </x:c>
      <x:c r="E20" s="38" t="n">
        <x:f>'Cost Model'!AA11</x:f>
        <x:v>66669.48</x:v>
      </x:c>
      <x:c r="F20" s="39" t="n">
        <x:f>'Cost Model'!X11</x:f>
        <x:v>0.9400423529411766</x:v>
      </x:c>
      <x:c r="G20" s="32"/>
      <x:c r="H20" s="32"/>
      <x:c r="I20" s="32"/>
      <x:c r="J20" s="32"/>
      <x:c r="K20" s="32"/>
      <x:c r="L20" s="32"/>
      <x:c r="M20" s="32"/>
    </x:row>
    <x:row r="21">
      <x:c r="A21" s="32" t="n">
        <x:f>'Cost Model'!A12</x:f>
        <x:v>3000</x:v>
      </x:c>
      <x:c r="B21" s="38" t="n">
        <x:f>'Cost Model'!C12</x:f>
        <x:v>229500</x:v>
      </x:c>
      <x:c r="C21" s="38" t="n">
        <x:f>'Cost Model'!W12</x:f>
        <x:v>13042.95</x:v>
      </x:c>
      <x:c r="D21" s="38" t="n">
        <x:f>'Cost Model'!Z12</x:f>
        <x:v>138542.95</x:v>
      </x:c>
      <x:c r="E21" s="38" t="n">
        <x:f>'Cost Model'!AA12</x:f>
        <x:v>83221.54999999999</x:v>
      </x:c>
      <x:c r="F21" s="39" t="n">
        <x:f>'Cost Model'!X12</x:f>
        <x:v>0.9431679738562091</x:v>
      </x:c>
      <x:c r="G21" s="32"/>
      <x:c r="H21" s="32"/>
      <x:c r="I21" s="32"/>
      <x:c r="J21" s="32"/>
      <x:c r="K21" s="32"/>
      <x:c r="L21" s="32"/>
      <x:c r="M21" s="32"/>
    </x:row>
    <x:row r="22">
      <x:c r="A22" s="32" t="n">
        <x:f>'Cost Model'!A13</x:f>
        <x:v>5000</x:v>
      </x:c>
      <x:c r="B22" s="38" t="n">
        <x:f>'Cost Model'!C13</x:f>
        <x:v>382500</x:v>
      </x:c>
      <x:c r="C22" s="38" t="n">
        <x:f>'Cost Model'!W13</x:f>
        <x:v>20712.42</x:v>
      </x:c>
      <x:c r="D22" s="38" t="n">
        <x:f>'Cost Model'!Z13</x:f>
        <x:v>153212.41999999998</x:v>
      </x:c>
      <x:c r="E22" s="38" t="n">
        <x:f>'Cost Model'!AA13</x:f>
        <x:v>216395.08000000002</x:v>
      </x:c>
      <x:c r="F22" s="39" t="n">
        <x:f>'Cost Model'!X13</x:f>
        <x:v>0.9458498823529412</x:v>
      </x:c>
      <x:c r="G22" s="32"/>
      <x:c r="H22" s="32"/>
      <x:c r="I22" s="32"/>
      <x:c r="J22" s="32"/>
      <x:c r="K22" s="32"/>
      <x:c r="L22" s="32"/>
      <x:c r="M22" s="32"/>
    </x:row>
    <x:row r="23">
      <x:c r="A23" s="32" t="n">
        <x:f>'Cost Model'!A14</x:f>
        <x:v>7500</x:v>
      </x:c>
      <x:c r="B23" s="38" t="n">
        <x:f>'Cost Model'!C14</x:f>
        <x:v>573750</x:v>
      </x:c>
      <x:c r="C23" s="38" t="n">
        <x:f>'Cost Model'!W14</x:f>
        <x:v>30210.09</x:v>
      </x:c>
      <x:c r="D23" s="38" t="n">
        <x:f>'Cost Model'!Z14</x:f>
        <x:v>261460.09</x:v>
      </x:c>
      <x:c r="E23" s="38" t="n">
        <x:f>'Cost Model'!AA14</x:f>
        <x:v>292951.16000000003</x:v>
      </x:c>
      <x:c r="F23" s="39" t="n">
        <x:f>'Cost Model'!X14</x:f>
        <x:v>0.9473462483660131</x:v>
      </x:c>
      <x:c r="G23" s="32"/>
      <x:c r="H23" s="32"/>
      <x:c r="I23" s="32"/>
      <x:c r="J23" s="32"/>
      <x:c r="K23" s="32"/>
      <x:c r="L23" s="32"/>
      <x:c r="M23" s="32"/>
    </x:row>
    <x:row r="24">
      <x:c r="A24" s="32" t="n">
        <x:f>'Cost Model'!A15</x:f>
        <x:v>10000</x:v>
      </x:c>
      <x:c r="B24" s="38" t="n">
        <x:f>'Cost Model'!C15</x:f>
        <x:v>765000</x:v>
      </x:c>
      <x:c r="C24" s="38" t="n">
        <x:f>'Cost Model'!W15</x:f>
        <x:v>39626.49</x:v>
      </x:c>
      <x:c r="D24" s="38" t="n">
        <x:f>'Cost Model'!Z15</x:f>
        <x:v>279626.49</x:v>
      </x:c>
      <x:c r="E24" s="38" t="n">
        <x:f>'Cost Model'!AA15</x:f>
        <x:v>459588.51</x:v>
      </x:c>
      <x:c r="F24" s="39" t="n">
        <x:f>'Cost Model'!X15</x:f>
        <x:v>0.9482006666666667</x:v>
      </x:c>
      <x:c r="G24" s="32"/>
      <x:c r="H24" s="32"/>
      <x:c r="I24" s="32"/>
      <x:c r="J24" s="32"/>
      <x:c r="K24" s="32"/>
      <x:c r="L24" s="32"/>
      <x:c r="M24" s="32"/>
    </x:row>
    <x:row r="25">
      <x:c r="A25" s="32" t="n">
        <x:f>'Cost Model'!A16</x:f>
        <x:v>12500</x:v>
      </x:c>
      <x:c r="B25" s="38" t="n">
        <x:f>'Cost Model'!C16</x:f>
        <x:v>956250</x:v>
      </x:c>
      <x:c r="C25" s="38" t="n">
        <x:f>'Cost Model'!W16</x:f>
        <x:v>48984.57</x:v>
      </x:c>
      <x:c r="D25" s="38" t="n">
        <x:f>'Cost Model'!Z16</x:f>
        <x:v>387734.57</x:v>
      </x:c>
      <x:c r="E25" s="38" t="n">
        <x:f>'Cost Model'!AA16</x:f>
        <x:v>536284.1799999999</x:v>
      </x:c>
      <x:c r="F25" s="39" t="n">
        <x:f>'Cost Model'!X16</x:f>
        <x:v>0.948774305882353</x:v>
      </x:c>
      <x:c r="G25" s="32"/>
      <x:c r="H25" s="32"/>
      <x:c r="I25" s="32"/>
      <x:c r="J25" s="32"/>
      <x:c r="K25" s="32"/>
      <x:c r="L25" s="32"/>
      <x:c r="M25" s="32"/>
    </x:row>
    <x:row r="26">
      <x:c r="A26" s="32" t="n">
        <x:f>'Cost Model'!A17</x:f>
        <x:v>15000</x:v>
      </x:c>
      <x:c r="B26" s="38" t="n">
        <x:f>'Cost Model'!C17</x:f>
        <x:v>1147500</x:v>
      </x:c>
      <x:c r="C26" s="38" t="n">
        <x:f>'Cost Model'!W17</x:f>
        <x:v>58299.36</x:v>
      </x:c>
      <x:c r="D26" s="38" t="n">
        <x:f>'Cost Model'!Z17</x:f>
        <x:v>405799.36</x:v>
      </x:c>
      <x:c r="E26" s="38" t="n">
        <x:f>'Cost Model'!AA17</x:f>
        <x:v>703023.14</x:v>
      </x:c>
      <x:c r="F26" s="39" t="n">
        <x:f>'Cost Model'!X17</x:f>
        <x:v>0.9491944575163398</x:v>
      </x:c>
      <x:c r="G26" s="32"/>
      <x:c r="H26" s="32"/>
      <x:c r="I26" s="32"/>
      <x:c r="J26" s="32"/>
      <x:c r="K26" s="32"/>
      <x:c r="L26" s="32"/>
      <x:c r="M26" s="32"/>
    </x:row>
  </x:sheetData>
  <x:mergeCells>
    <x:mergeCell ref="A1:M1"/>
  </x:mergeCells>
  <x:pageMargins left="0.7" right="0.7" top="0.75" bottom="0.75" header="0.3" footer="0.3"/>
  <x:drawing xmlns:r="http://schemas.openxmlformats.org/officeDocument/2006/relationships" r:id="R17e73e013d4d4b9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460000038146973" hidden="0" customWidth="1"/>
    <x:col min="2" max="2" width="12.789999961853027" hidden="0" customWidth="1"/>
    <x:col min="3" max="3" width="14.399999618530273" hidden="0" customWidth="1"/>
    <x:col min="4" max="4" width="14.399999618530273" hidden="0" customWidth="1"/>
    <x:col min="5" max="5" width="14.399999618530273" hidden="0" customWidth="1"/>
    <x:col min="6" max="6" width="14.399999618530273" hidden="0" customWidth="1"/>
    <x:col min="7" max="7" width="14.399999618530273" hidden="0" customWidth="1"/>
    <x:col min="8" max="8" width="14.399999618530273" hidden="0" customWidth="1"/>
    <x:col min="9" max="9" width="14.399999618530273" hidden="0" customWidth="1"/>
    <x:col min="10" max="10" width="14.399999618530273" hidden="0" customWidth="1"/>
    <x:col min="11" max="11" width="14.399999618530273" hidden="0" customWidth="1"/>
    <x:col min="12" max="12" width="14.399999618530273" hidden="0" customWidth="1"/>
    <x:col min="13" max="13" width="14.399999618530273" hidden="0" customWidth="1"/>
    <x:col min="14" max="14" width="14.399999618530273" hidden="0" customWidth="1"/>
    <x:col min="15" max="15" width="14.399999618530273" hidden="0" customWidth="1"/>
    <x:col min="16" max="16" width="14.399999618530273" hidden="0" customWidth="1"/>
    <x:col min="17" max="17" width="14.399999618530273" hidden="0" customWidth="1"/>
    <x:col min="18" max="18" width="14.399999618530273" hidden="0" customWidth="1"/>
    <x:col min="19" max="19" width="14.399999618530273" hidden="0" customWidth="1"/>
    <x:col min="20" max="20" width="14.399999618530273" hidden="0" customWidth="1"/>
    <x:col min="21" max="21" width="14.399999618530273" hidden="0" customWidth="1"/>
    <x:col min="22" max="22" width="14.399999618530273" hidden="0" customWidth="1"/>
    <x:col min="23" max="23" width="14.399999618530273" hidden="0" customWidth="1"/>
    <x:col min="24" max="24" width="14.399999618530273" hidden="0" customWidth="1"/>
    <x:col min="25" max="25" width="14.399999618530273" hidden="0" customWidth="1"/>
    <x:col min="26" max="26" width="14.399999618530273" hidden="0" customWidth="1"/>
    <x:col min="27" max="27" width="14.399999618530273" hidden="0" customWidth="1"/>
  </x:cols>
  <x:sheetData>
    <x:row r="1" ht="25.5" customHeight="1">
      <x:c r="A1" s="41" t="str">
        <x:v>Monthly Cost Model: 0 to 15,000 Paying Users</x:v>
      </x:c>
      <x:c r="B1" s="41" t="str">
        <x:v>Monthly Cost Model: 0 to 15,000 Paying Users</x:v>
      </x:c>
      <x:c r="C1" s="41" t="str">
        <x:v>Monthly Cost Model: 0 to 15,000 Paying Users</x:v>
      </x:c>
      <x:c r="D1" s="41" t="str">
        <x:v>Monthly Cost Model: 0 to 15,000 Paying Users</x:v>
      </x:c>
      <x:c r="E1" s="41" t="str">
        <x:v>Monthly Cost Model: 0 to 15,000 Paying Users</x:v>
      </x:c>
      <x:c r="F1" s="41" t="str">
        <x:v>Monthly Cost Model: 0 to 15,000 Paying Users</x:v>
      </x:c>
      <x:c r="G1" s="41" t="str">
        <x:v>Monthly Cost Model: 0 to 15,000 Paying Users</x:v>
      </x:c>
      <x:c r="H1" s="41" t="str">
        <x:v>Monthly Cost Model: 0 to 15,000 Paying Users</x:v>
      </x:c>
      <x:c r="I1" s="41" t="str">
        <x:v>Monthly Cost Model: 0 to 15,000 Paying Users</x:v>
      </x:c>
      <x:c r="J1" s="41" t="str">
        <x:v>Monthly Cost Model: 0 to 15,000 Paying Users</x:v>
      </x:c>
      <x:c r="K1" s="41" t="str">
        <x:v>Monthly Cost Model: 0 to 15,000 Paying Users</x:v>
      </x:c>
      <x:c r="L1" s="41" t="str">
        <x:v>Monthly Cost Model: 0 to 15,000 Paying Users</x:v>
      </x:c>
      <x:c r="M1" s="41" t="str">
        <x:v>Monthly Cost Model: 0 to 15,000 Paying Users</x:v>
      </x:c>
      <x:c r="N1" s="41" t="str">
        <x:v>Monthly Cost Model: 0 to 15,000 Paying Users</x:v>
      </x:c>
      <x:c r="O1" s="41" t="str">
        <x:v>Monthly Cost Model: 0 to 15,000 Paying Users</x:v>
      </x:c>
      <x:c r="P1" s="41" t="str">
        <x:v>Monthly Cost Model: 0 to 15,000 Paying Users</x:v>
      </x:c>
      <x:c r="Q1" s="41" t="str">
        <x:v>Monthly Cost Model: 0 to 15,000 Paying Users</x:v>
      </x:c>
      <x:c r="R1" s="41" t="str">
        <x:v>Monthly Cost Model: 0 to 15,000 Paying Users</x:v>
      </x:c>
      <x:c r="S1" s="41" t="str">
        <x:v>Monthly Cost Model: 0 to 15,000 Paying Users</x:v>
      </x:c>
      <x:c r="T1" s="41" t="str">
        <x:v>Monthly Cost Model: 0 to 15,000 Paying Users</x:v>
      </x:c>
      <x:c r="U1" s="41" t="str">
        <x:v>Monthly Cost Model: 0 to 15,000 Paying Users</x:v>
      </x:c>
      <x:c r="V1" s="41" t="str">
        <x:v>Monthly Cost Model: 0 to 15,000 Paying Users</x:v>
      </x:c>
      <x:c r="W1" s="41" t="str">
        <x:v>Monthly Cost Model: 0 to 15,000 Paying Users</x:v>
      </x:c>
      <x:c r="X1" s="41" t="str">
        <x:v>Monthly Cost Model: 0 to 15,000 Paying Users</x:v>
      </x:c>
      <x:c r="Y1" s="41" t="str">
        <x:v>Monthly Cost Model: 0 to 15,000 Paying Users</x:v>
      </x:c>
      <x:c r="Z1" s="41" t="str">
        <x:v>Monthly Cost Model: 0 to 15,000 Paying Users</x:v>
      </x:c>
      <x:c r="AA1" s="32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  <x:c r="AA2" s="32"/>
    </x:row>
    <x:row r="3">
      <x:c r="A3" s="33" t="str">
        <x:v>Paying Users</x:v>
      </x:c>
      <x:c r="B3" s="33" t="str">
        <x:v>Active Users</x:v>
      </x:c>
      <x:c r="C3" s="33" t="str">
        <x:v>Revenue</x:v>
      </x:c>
      <x:c r="D3" s="33" t="str">
        <x:v>Stripe Fees</x:v>
      </x:c>
      <x:c r="E3" s="33" t="str">
        <x:v>Net Revenue</x:v>
      </x:c>
      <x:c r="F3" s="33" t="str">
        <x:v>Unique Channels</x:v>
      </x:c>
      <x:c r="G3" s="33" t="str">
        <x:v>Covered Transcript Videos</x:v>
      </x:c>
      <x:c r="H3" s="33" t="str">
        <x:v>Daily Reports</x:v>
      </x:c>
      <x:c r="I3" s="33" t="str">
        <x:v>LLM Reports</x:v>
      </x:c>
      <x:c r="J3" s="33" t="str">
        <x:v>LLM Outlines</x:v>
      </x:c>
      <x:c r="K3" s="33" t="str">
        <x:v>Image Generation</x:v>
      </x:c>
      <x:c r="L3" s="33" t="str">
        <x:v>Transcript Cost</x:v>
      </x:c>
      <x:c r="M3" s="33" t="str">
        <x:v>Export Cost</x:v>
      </x:c>
      <x:c r="N3" s="33" t="str">
        <x:v>AI + Export COGS</x:v>
      </x:c>
      <x:c r="O3" s="33" t="str">
        <x:v>Supabase</x:v>
      </x:c>
      <x:c r="P3" s="33" t="str">
        <x:v>Vercel</x:v>
      </x:c>
      <x:c r="Q3" s="33" t="str">
        <x:v>Queue/Cron</x:v>
      </x:c>
      <x:c r="R3" s="33" t="str">
        <x:v>Monitoring/Admin</x:v>
      </x:c>
      <x:c r="S3" s="33" t="str">
        <x:v>YouTube/Data Reserve</x:v>
      </x:c>
      <x:c r="T3" s="33" t="str">
        <x:v>Email Cost</x:v>
      </x:c>
      <x:c r="U3" s="33" t="str">
        <x:v>Platform COGS</x:v>
      </x:c>
      <x:c r="V3" s="33" t="str">
        <x:v>Contingency</x:v>
      </x:c>
      <x:c r="W3" s="33" t="str">
        <x:v>Total Software COGS</x:v>
      </x:c>
      <x:c r="X3" s="33" t="str">
        <x:v>Gross Margin</x:v>
      </x:c>
      <x:c r="Y3" s="33" t="str">
        <x:v>Team/Ops Cost</x:v>
      </x:c>
      <x:c r="Z3" s="33" t="str">
        <x:v>Total Operating Cost</x:v>
      </x:c>
      <x:c r="AA3" s="33" t="str">
        <x:v>Operating Profit</x:v>
      </x:c>
    </x:row>
    <x:row r="4">
      <x:c r="A4" s="34" t="n">
        <x:v>0</x:v>
      </x:c>
      <x:c r="B4" s="34" t="n">
        <x:f>ROUND(A4*Assumptions!$C$8,0)</x:f>
        <x:v>0</x:v>
      </x:c>
      <x:c r="C4" s="37" t="n">
        <x:f>A4*(Assumptions!$C$4+Assumptions!$C$5)</x:f>
        <x:v>0</x:v>
      </x:c>
      <x:c r="D4" s="37" t="n">
        <x:f>C4*Assumptions!$C$6 + A4*Assumptions!$C$7</x:f>
        <x:v>0</x:v>
      </x:c>
      <x:c r="E4" s="37" t="n">
        <x:f>C4-D4</x:f>
        <x:v>0</x:v>
      </x:c>
      <x:c r="F4" s="34" t="n">
        <x:f>IF(B4=0,0,MIN(B4*Assumptions!$C$10,ROUND((B4*Assumptions!$C$10)^Assumptions!$C$11*1.4,0)))</x:f>
        <x:v>0</x:v>
      </x:c>
      <x:c r="G4" s="34" t="n">
        <x:f>ROUND(F4*Assumptions!$C$12*Assumptions!$C$13,0)</x:f>
        <x:v>0</x:v>
      </x:c>
      <x:c r="H4" s="34" t="n">
        <x:f>ROUND(A4*Assumptions!$C$9*30,0)</x:f>
        <x:v>0</x:v>
      </x:c>
      <x:c r="I4" s="37" t="n">
        <x:f>H4*Assumptions!$C$17</x:f>
        <x:v>0</x:v>
      </x:c>
      <x:c r="J4" s="37" t="n">
        <x:f>A4*Assumptions!$C$14*Assumptions!$C$18</x:f>
        <x:v>0</x:v>
      </x:c>
      <x:c r="K4" s="37" t="n">
        <x:f>A4*Assumptions!$C$15*Assumptions!$C$19</x:f>
        <x:v>0</x:v>
      </x:c>
      <x:c r="L4" s="37" t="n">
        <x:f>G4*Assumptions!$C$20</x:f>
        <x:v>0</x:v>
      </x:c>
      <x:c r="M4" s="37" t="n">
        <x:f>A4*Assumptions!$C$16*Assumptions!$C$21</x:f>
        <x:v>0</x:v>
      </x:c>
      <x:c r="N4" s="37" t="n">
        <x:f>SUM(I4:M4)</x:f>
        <x:v>0</x:v>
      </x:c>
      <x:c r="O4" s="37" t="n">
        <x:f>Assumptions!$C$22 + A4*Assumptions!$C$23</x:f>
        <x:v>25</x:v>
      </x:c>
      <x:c r="P4" s="37" t="n">
        <x:f>Assumptions!$C$24 + A4*Assumptions!$C$25</x:f>
        <x:v>40</x:v>
      </x:c>
      <x:c r="Q4" s="37" t="n">
        <x:f>Assumptions!$C$26 + A4*Assumptions!$C$27</x:f>
        <x:v>100</x:v>
      </x:c>
      <x:c r="R4" s="37" t="n">
        <x:f>Assumptions!$C$28 + A4*Assumptions!$C$29</x:f>
        <x:v>150</x:v>
      </x:c>
      <x:c r="S4" s="37" t="n">
        <x:f>Assumptions!$C$30 + A4*Assumptions!$C$31</x:f>
        <x:v>500</x:v>
      </x:c>
      <x:c r="T4" s="37" t="n">
        <x:f>Assumptions!$C$32 + MAX(0,(H4+A4*4)-Assumptions!$C$33)*Assumptions!$C$34</x:f>
        <x:v>90</x:v>
      </x:c>
      <x:c r="U4" s="37" t="n">
        <x:f>SUM(O4:T4)</x:f>
        <x:v>905</x:v>
      </x:c>
      <x:c r="V4" s="37" t="n">
        <x:f>(N4+U4)*Assumptions!$C$37</x:f>
        <x:v>181</x:v>
      </x:c>
      <x:c r="W4" s="37" t="n">
        <x:f>N4+U4+V4</x:f>
        <x:v>1086</x:v>
      </x:c>
      <x:c r="X4" s="36" t="n">
        <x:f>IF(C4=0,0,(C4-W4)/C4)</x:f>
        <x:v>0</x:v>
      </x:c>
      <x:c r="Y4" s="37" t="n">
        <x:f>Assumptions!$C$35 + A4*Assumptions!$C$36 + IF(A4&gt;=1000,30000,0) + IF(A4&gt;=3000,50000,0) + IF(A4&gt;=7500,90000,0) + IF(A4&gt;=12500,90000,0)</x:f>
        <x:v>35000</x:v>
      </x:c>
      <x:c r="Z4" s="37" t="n">
        <x:f>W4+Y4</x:f>
        <x:v>36086</x:v>
      </x:c>
      <x:c r="AA4" s="37" t="n">
        <x:f>C4-D4-Z4</x:f>
        <x:v>-36086</x:v>
      </x:c>
    </x:row>
    <x:row r="5">
      <x:c r="A5" s="34" t="n">
        <x:v>100</x:v>
      </x:c>
      <x:c r="B5" s="34" t="n">
        <x:f>ROUND(A5*Assumptions!$C$8,0)</x:f>
        <x:v>35</x:v>
      </x:c>
      <x:c r="C5" s="37" t="n">
        <x:f>A5*(Assumptions!$C$4+Assumptions!$C$5)</x:f>
        <x:v>7650</x:v>
      </x:c>
      <x:c r="D5" s="37" t="n">
        <x:f>C5*Assumptions!$C$6 + A5*Assumptions!$C$7</x:f>
        <x:v>257.85</x:v>
      </x:c>
      <x:c r="E5" s="37" t="n">
        <x:f>C5-D5</x:f>
        <x:v>7392.15</x:v>
      </x:c>
      <x:c r="F5" s="34" t="n">
        <x:f>IF(B5=0,0,MIN(B5*Assumptions!$C$10,ROUND((B5*Assumptions!$C$10)^Assumptions!$C$11*1.4,0)))</x:f>
        <x:v>238</x:v>
      </x:c>
      <x:c r="G5" s="34" t="n">
        <x:f>ROUND(F5*Assumptions!$C$12*Assumptions!$C$13,0)</x:f>
        <x:v>1571</x:v>
      </x:c>
      <x:c r="H5" s="34" t="n">
        <x:f>ROUND(A5*Assumptions!$C$9*30,0)</x:f>
        <x:v>2250</x:v>
      </x:c>
      <x:c r="I5" s="37" t="n">
        <x:f>H5*Assumptions!$C$17</x:f>
        <x:v>123.75</x:v>
      </x:c>
      <x:c r="J5" s="37" t="n">
        <x:f>A5*Assumptions!$C$14*Assumptions!$C$18</x:f>
        <x:v>52.50000000000001</x:v>
      </x:c>
      <x:c r="K5" s="37" t="n">
        <x:f>A5*Assumptions!$C$15*Assumptions!$C$19</x:f>
        <x:v>34</x:v>
      </x:c>
      <x:c r="L5" s="37" t="n">
        <x:f>G5*Assumptions!$C$20</x:f>
        <x:v>117.82499999999999</x:v>
      </x:c>
      <x:c r="M5" s="37" t="n">
        <x:f>A5*Assumptions!$C$16*Assumptions!$C$21</x:f>
        <x:v>10</x:v>
      </x:c>
      <x:c r="N5" s="37" t="n">
        <x:f>SUM(I5:M5)</x:f>
        <x:v>338.075</x:v>
      </x:c>
      <x:c r="O5" s="37" t="n">
        <x:f>Assumptions!$C$22 + A5*Assumptions!$C$23</x:f>
        <x:v>33</x:v>
      </x:c>
      <x:c r="P5" s="37" t="n">
        <x:f>Assumptions!$C$24 + A5*Assumptions!$C$25</x:f>
        <x:v>45</x:v>
      </x:c>
      <x:c r="Q5" s="37" t="n">
        <x:f>Assumptions!$C$26 + A5*Assumptions!$C$27</x:f>
        <x:v>109</x:v>
      </x:c>
      <x:c r="R5" s="37" t="n">
        <x:f>Assumptions!$C$28 + A5*Assumptions!$C$29</x:f>
        <x:v>156</x:v>
      </x:c>
      <x:c r="S5" s="37" t="n">
        <x:f>Assumptions!$C$30 + A5*Assumptions!$C$31</x:f>
        <x:v>520</x:v>
      </x:c>
      <x:c r="T5" s="37" t="n">
        <x:f>Assumptions!$C$32 + MAX(0,(H5+A5*4)-Assumptions!$C$33)*Assumptions!$C$34</x:f>
        <x:v>90</x:v>
      </x:c>
      <x:c r="U5" s="37" t="n">
        <x:f>SUM(O5:T5)</x:f>
        <x:v>953</x:v>
      </x:c>
      <x:c r="V5" s="37" t="n">
        <x:f>(N5+U5)*Assumptions!$C$37</x:f>
        <x:v>258.21500000000003</x:v>
      </x:c>
      <x:c r="W5" s="37" t="n">
        <x:f>N5+U5+V5</x:f>
        <x:v>1549.29</x:v>
      </x:c>
      <x:c r="X5" s="36" t="n">
        <x:f>IF(C5=0,0,(C5-W5)/C5)</x:f>
        <x:v>0.797478431372549</x:v>
      </x:c>
      <x:c r="Y5" s="37" t="n">
        <x:f>Assumptions!$C$35 + A5*Assumptions!$C$36 + IF(A5&gt;=1000,30000,0) + IF(A5&gt;=3000,50000,0) + IF(A5&gt;=7500,90000,0) + IF(A5&gt;=12500,90000,0)</x:f>
        <x:v>35350</x:v>
      </x:c>
      <x:c r="Z5" s="37" t="n">
        <x:f>W5+Y5</x:f>
        <x:v>36899.29</x:v>
      </x:c>
      <x:c r="AA5" s="37" t="n">
        <x:f>C5-D5-Z5</x:f>
        <x:v>-29507.14</x:v>
      </x:c>
    </x:row>
    <x:row r="6">
      <x:c r="A6" s="34" t="n">
        <x:v>250</x:v>
      </x:c>
      <x:c r="B6" s="34" t="n">
        <x:f>ROUND(A6*Assumptions!$C$8,0)</x:f>
        <x:v>88</x:v>
      </x:c>
      <x:c r="C6" s="37" t="n">
        <x:f>A6*(Assumptions!$C$4+Assumptions!$C$5)</x:f>
        <x:v>19125</x:v>
      </x:c>
      <x:c r="D6" s="37" t="n">
        <x:f>C6*Assumptions!$C$6 + A6*Assumptions!$C$7</x:f>
        <x:v>644.625</x:v>
      </x:c>
      <x:c r="E6" s="37" t="n">
        <x:f>C6-D6</x:f>
        <x:v>18480.375</x:v>
      </x:c>
      <x:c r="F6" s="34" t="n">
        <x:f>IF(B6=0,0,MIN(B6*Assumptions!$C$10,ROUND((B6*Assumptions!$C$10)^Assumptions!$C$11*1.4,0)))</x:f>
        <x:v>507</x:v>
      </x:c>
      <x:c r="G6" s="34" t="n">
        <x:f>ROUND(F6*Assumptions!$C$12*Assumptions!$C$13,0)</x:f>
        <x:v>3346</x:v>
      </x:c>
      <x:c r="H6" s="34" t="n">
        <x:f>ROUND(A6*Assumptions!$C$9*30,0)</x:f>
        <x:v>5625</x:v>
      </x:c>
      <x:c r="I6" s="37" t="n">
        <x:f>H6*Assumptions!$C$17</x:f>
        <x:v>309.375</x:v>
      </x:c>
      <x:c r="J6" s="37" t="n">
        <x:f>A6*Assumptions!$C$14*Assumptions!$C$18</x:f>
        <x:v>131.25</x:v>
      </x:c>
      <x:c r="K6" s="37" t="n">
        <x:f>A6*Assumptions!$C$15*Assumptions!$C$19</x:f>
        <x:v>85</x:v>
      </x:c>
      <x:c r="L6" s="37" t="n">
        <x:f>G6*Assumptions!$C$20</x:f>
        <x:v>250.95</x:v>
      </x:c>
      <x:c r="M6" s="37" t="n">
        <x:f>A6*Assumptions!$C$16*Assumptions!$C$21</x:f>
        <x:v>25</x:v>
      </x:c>
      <x:c r="N6" s="37" t="n">
        <x:f>SUM(I6:M6)</x:f>
        <x:v>801.575</x:v>
      </x:c>
      <x:c r="O6" s="37" t="n">
        <x:f>Assumptions!$C$22 + A6*Assumptions!$C$23</x:f>
        <x:v>45</x:v>
      </x:c>
      <x:c r="P6" s="37" t="n">
        <x:f>Assumptions!$C$24 + A6*Assumptions!$C$25</x:f>
        <x:v>52.5</x:v>
      </x:c>
      <x:c r="Q6" s="37" t="n">
        <x:f>Assumptions!$C$26 + A6*Assumptions!$C$27</x:f>
        <x:v>122.5</x:v>
      </x:c>
      <x:c r="R6" s="37" t="n">
        <x:f>Assumptions!$C$28 + A6*Assumptions!$C$29</x:f>
        <x:v>165</x:v>
      </x:c>
      <x:c r="S6" s="37" t="n">
        <x:f>Assumptions!$C$30 + A6*Assumptions!$C$31</x:f>
        <x:v>550</x:v>
      </x:c>
      <x:c r="T6" s="37" t="n">
        <x:f>Assumptions!$C$32 + MAX(0,(H6+A6*4)-Assumptions!$C$33)*Assumptions!$C$34</x:f>
        <x:v>90</x:v>
      </x:c>
      <x:c r="U6" s="37" t="n">
        <x:f>SUM(O6:T6)</x:f>
        <x:v>1025</x:v>
      </x:c>
      <x:c r="V6" s="37" t="n">
        <x:f>(N6+U6)*Assumptions!$C$37</x:f>
        <x:v>365.31500000000005</x:v>
      </x:c>
      <x:c r="W6" s="37" t="n">
        <x:f>N6+U6+V6</x:f>
        <x:v>2191.8900000000003</x:v>
      </x:c>
      <x:c r="X6" s="36" t="n">
        <x:f>IF(C6=0,0,(C6-W6)/C6)</x:f>
        <x:v>0.8853913725490197</x:v>
      </x:c>
      <x:c r="Y6" s="37" t="n">
        <x:f>Assumptions!$C$35 + A6*Assumptions!$C$36 + IF(A6&gt;=1000,30000,0) + IF(A6&gt;=3000,50000,0) + IF(A6&gt;=7500,90000,0) + IF(A6&gt;=12500,90000,0)</x:f>
        <x:v>35875</x:v>
      </x:c>
      <x:c r="Z6" s="37" t="n">
        <x:f>W6+Y6</x:f>
        <x:v>38066.89</x:v>
      </x:c>
      <x:c r="AA6" s="37" t="n">
        <x:f>C6-D6-Z6</x:f>
        <x:v>-19586.515</x:v>
      </x:c>
    </x:row>
    <x:row r="7">
      <x:c r="A7" s="34" t="n">
        <x:v>500</x:v>
      </x:c>
      <x:c r="B7" s="34" t="n">
        <x:f>ROUND(A7*Assumptions!$C$8,0)</x:f>
        <x:v>175</x:v>
      </x:c>
      <x:c r="C7" s="37" t="n">
        <x:f>A7*(Assumptions!$C$4+Assumptions!$C$5)</x:f>
        <x:v>38250</x:v>
      </x:c>
      <x:c r="D7" s="37" t="n">
        <x:f>C7*Assumptions!$C$6 + A7*Assumptions!$C$7</x:f>
        <x:v>1289.25</x:v>
      </x:c>
      <x:c r="E7" s="37" t="n">
        <x:f>C7-D7</x:f>
        <x:v>36960.75</x:v>
      </x:c>
      <x:c r="F7" s="34" t="n">
        <x:f>IF(B7=0,0,MIN(B7*Assumptions!$C$10,ROUND((B7*Assumptions!$C$10)^Assumptions!$C$11*1.4,0)))</x:f>
        <x:v>891</x:v>
      </x:c>
      <x:c r="G7" s="34" t="n">
        <x:f>ROUND(F7*Assumptions!$C$12*Assumptions!$C$13,0)</x:f>
        <x:v>5881</x:v>
      </x:c>
      <x:c r="H7" s="34" t="n">
        <x:f>ROUND(A7*Assumptions!$C$9*30,0)</x:f>
        <x:v>11250</x:v>
      </x:c>
      <x:c r="I7" s="37" t="n">
        <x:f>H7*Assumptions!$C$17</x:f>
        <x:v>618.75</x:v>
      </x:c>
      <x:c r="J7" s="37" t="n">
        <x:f>A7*Assumptions!$C$14*Assumptions!$C$18</x:f>
        <x:v>262.5</x:v>
      </x:c>
      <x:c r="K7" s="37" t="n">
        <x:f>A7*Assumptions!$C$15*Assumptions!$C$19</x:f>
        <x:v>170</x:v>
      </x:c>
      <x:c r="L7" s="37" t="n">
        <x:f>G7*Assumptions!$C$20</x:f>
        <x:v>441.075</x:v>
      </x:c>
      <x:c r="M7" s="37" t="n">
        <x:f>A7*Assumptions!$C$16*Assumptions!$C$21</x:f>
        <x:v>50</x:v>
      </x:c>
      <x:c r="N7" s="37" t="n">
        <x:f>SUM(I7:M7)</x:f>
        <x:v>1542.325</x:v>
      </x:c>
      <x:c r="O7" s="37" t="n">
        <x:f>Assumptions!$C$22 + A7*Assumptions!$C$23</x:f>
        <x:v>65</x:v>
      </x:c>
      <x:c r="P7" s="37" t="n">
        <x:f>Assumptions!$C$24 + A7*Assumptions!$C$25</x:f>
        <x:v>65</x:v>
      </x:c>
      <x:c r="Q7" s="37" t="n">
        <x:f>Assumptions!$C$26 + A7*Assumptions!$C$27</x:f>
        <x:v>145</x:v>
      </x:c>
      <x:c r="R7" s="37" t="n">
        <x:f>Assumptions!$C$28 + A7*Assumptions!$C$29</x:f>
        <x:v>180</x:v>
      </x:c>
      <x:c r="S7" s="37" t="n">
        <x:f>Assumptions!$C$30 + A7*Assumptions!$C$31</x:f>
        <x:v>600</x:v>
      </x:c>
      <x:c r="T7" s="37" t="n">
        <x:f>Assumptions!$C$32 + MAX(0,(H7+A7*4)-Assumptions!$C$33)*Assumptions!$C$34</x:f>
        <x:v>90</x:v>
      </x:c>
      <x:c r="U7" s="37" t="n">
        <x:f>SUM(O7:T7)</x:f>
        <x:v>1145</x:v>
      </x:c>
      <x:c r="V7" s="37" t="n">
        <x:f>(N7+U7)*Assumptions!$C$37</x:f>
        <x:v>537.465</x:v>
      </x:c>
      <x:c r="W7" s="37" t="n">
        <x:f>N7+U7+V7</x:f>
        <x:v>3224.79</x:v>
      </x:c>
      <x:c r="X7" s="36" t="n">
        <x:f>IF(C7=0,0,(C7-W7)/C7)</x:f>
        <x:v>0.9156917647058823</x:v>
      </x:c>
      <x:c r="Y7" s="37" t="n">
        <x:f>Assumptions!$C$35 + A7*Assumptions!$C$36 + IF(A7&gt;=1000,30000,0) + IF(A7&gt;=3000,50000,0) + IF(A7&gt;=7500,90000,0) + IF(A7&gt;=12500,90000,0)</x:f>
        <x:v>36750</x:v>
      </x:c>
      <x:c r="Z7" s="37" t="n">
        <x:f>W7+Y7</x:f>
        <x:v>39974.79</x:v>
      </x:c>
      <x:c r="AA7" s="37" t="n">
        <x:f>C7-D7-Z7</x:f>
        <x:v>-3014.040000000001</x:v>
      </x:c>
    </x:row>
    <x:row r="8">
      <x:c r="A8" s="34" t="n">
        <x:v>750</x:v>
      </x:c>
      <x:c r="B8" s="34" t="n">
        <x:f>ROUND(A8*Assumptions!$C$8,0)</x:f>
        <x:v>263</x:v>
      </x:c>
      <x:c r="C8" s="37" t="n">
        <x:f>A8*(Assumptions!$C$4+Assumptions!$C$5)</x:f>
        <x:v>57375</x:v>
      </x:c>
      <x:c r="D8" s="37" t="n">
        <x:f>C8*Assumptions!$C$6 + A8*Assumptions!$C$7</x:f>
        <x:v>1933.875</x:v>
      </x:c>
      <x:c r="E8" s="37" t="n">
        <x:f>C8-D8</x:f>
        <x:v>55441.125</x:v>
      </x:c>
      <x:c r="F8" s="34" t="n">
        <x:f>IF(B8=0,0,MIN(B8*Assumptions!$C$10,ROUND((B8*Assumptions!$C$10)^Assumptions!$C$11*1.4,0)))</x:f>
        <x:v>1244</x:v>
      </x:c>
      <x:c r="G8" s="34" t="n">
        <x:f>ROUND(F8*Assumptions!$C$12*Assumptions!$C$13,0)</x:f>
        <x:v>8210</x:v>
      </x:c>
      <x:c r="H8" s="34" t="n">
        <x:f>ROUND(A8*Assumptions!$C$9*30,0)</x:f>
        <x:v>16875</x:v>
      </x:c>
      <x:c r="I8" s="37" t="n">
        <x:f>H8*Assumptions!$C$17</x:f>
        <x:v>928.125</x:v>
      </x:c>
      <x:c r="J8" s="37" t="n">
        <x:f>A8*Assumptions!$C$14*Assumptions!$C$18</x:f>
        <x:v>393.75000000000006</x:v>
      </x:c>
      <x:c r="K8" s="37" t="n">
        <x:f>A8*Assumptions!$C$15*Assumptions!$C$19</x:f>
        <x:v>255.00000000000003</x:v>
      </x:c>
      <x:c r="L8" s="37" t="n">
        <x:f>G8*Assumptions!$C$20</x:f>
        <x:v>615.75</x:v>
      </x:c>
      <x:c r="M8" s="37" t="n">
        <x:f>A8*Assumptions!$C$16*Assumptions!$C$21</x:f>
        <x:v>75</x:v>
      </x:c>
      <x:c r="N8" s="37" t="n">
        <x:f>SUM(I8:M8)</x:f>
        <x:v>2267.625</x:v>
      </x:c>
      <x:c r="O8" s="37" t="n">
        <x:f>Assumptions!$C$22 + A8*Assumptions!$C$23</x:f>
        <x:v>85</x:v>
      </x:c>
      <x:c r="P8" s="37" t="n">
        <x:f>Assumptions!$C$24 + A8*Assumptions!$C$25</x:f>
        <x:v>77.5</x:v>
      </x:c>
      <x:c r="Q8" s="37" t="n">
        <x:f>Assumptions!$C$26 + A8*Assumptions!$C$27</x:f>
        <x:v>167.5</x:v>
      </x:c>
      <x:c r="R8" s="37" t="n">
        <x:f>Assumptions!$C$28 + A8*Assumptions!$C$29</x:f>
        <x:v>195</x:v>
      </x:c>
      <x:c r="S8" s="37" t="n">
        <x:f>Assumptions!$C$30 + A8*Assumptions!$C$31</x:f>
        <x:v>650</x:v>
      </x:c>
      <x:c r="T8" s="37" t="n">
        <x:f>Assumptions!$C$32 + MAX(0,(H8+A8*4)-Assumptions!$C$33)*Assumptions!$C$34</x:f>
        <x:v>90</x:v>
      </x:c>
      <x:c r="U8" s="37" t="n">
        <x:f>SUM(O8:T8)</x:f>
        <x:v>1265</x:v>
      </x:c>
      <x:c r="V8" s="37" t="n">
        <x:f>(N8+U8)*Assumptions!$C$37</x:f>
        <x:v>706.5250000000001</x:v>
      </x:c>
      <x:c r="W8" s="37" t="n">
        <x:f>N8+U8+V8</x:f>
        <x:v>4239.15</x:v>
      </x:c>
      <x:c r="X8" s="36" t="n">
        <x:f>IF(C8=0,0,(C8-W8)/C8)</x:f>
        <x:v>0.9261150326797385</x:v>
      </x:c>
      <x:c r="Y8" s="37" t="n">
        <x:f>Assumptions!$C$35 + A8*Assumptions!$C$36 + IF(A8&gt;=1000,30000,0) + IF(A8&gt;=3000,50000,0) + IF(A8&gt;=7500,90000,0) + IF(A8&gt;=12500,90000,0)</x:f>
        <x:v>37625</x:v>
      </x:c>
      <x:c r="Z8" s="37" t="n">
        <x:f>W8+Y8</x:f>
        <x:v>41864.15</x:v>
      </x:c>
      <x:c r="AA8" s="37" t="n">
        <x:f>C8-D8-Z8</x:f>
        <x:v>13576.974999999999</x:v>
      </x:c>
    </x:row>
    <x:row r="9">
      <x:c r="A9" s="34" t="n">
        <x:v>1000</x:v>
      </x:c>
      <x:c r="B9" s="34" t="n">
        <x:f>ROUND(A9*Assumptions!$C$8,0)</x:f>
        <x:v>350</x:v>
      </x:c>
      <x:c r="C9" s="37" t="n">
        <x:f>A9*(Assumptions!$C$4+Assumptions!$C$5)</x:f>
        <x:v>76500</x:v>
      </x:c>
      <x:c r="D9" s="37" t="n">
        <x:f>C9*Assumptions!$C$6 + A9*Assumptions!$C$7</x:f>
        <x:v>2578.5</x:v>
      </x:c>
      <x:c r="E9" s="37" t="n">
        <x:f>C9-D9</x:f>
        <x:v>73921.5</x:v>
      </x:c>
      <x:c r="F9" s="34" t="n">
        <x:f>IF(B9=0,0,MIN(B9*Assumptions!$C$10,ROUND((B9*Assumptions!$C$10)^Assumptions!$C$11*1.4,0)))</x:f>
        <x:v>1573</x:v>
      </x:c>
      <x:c r="G9" s="34" t="n">
        <x:f>ROUND(F9*Assumptions!$C$12*Assumptions!$C$13,0)</x:f>
        <x:v>10382</x:v>
      </x:c>
      <x:c r="H9" s="34" t="n">
        <x:f>ROUND(A9*Assumptions!$C$9*30,0)</x:f>
        <x:v>22500</x:v>
      </x:c>
      <x:c r="I9" s="37" t="n">
        <x:f>H9*Assumptions!$C$17</x:f>
        <x:v>1237.5</x:v>
      </x:c>
      <x:c r="J9" s="37" t="n">
        <x:f>A9*Assumptions!$C$14*Assumptions!$C$18</x:f>
        <x:v>525</x:v>
      </x:c>
      <x:c r="K9" s="37" t="n">
        <x:f>A9*Assumptions!$C$15*Assumptions!$C$19</x:f>
        <x:v>340</x:v>
      </x:c>
      <x:c r="L9" s="37" t="n">
        <x:f>G9*Assumptions!$C$20</x:f>
        <x:v>778.65</x:v>
      </x:c>
      <x:c r="M9" s="37" t="n">
        <x:f>A9*Assumptions!$C$16*Assumptions!$C$21</x:f>
        <x:v>100</x:v>
      </x:c>
      <x:c r="N9" s="37" t="n">
        <x:f>SUM(I9:M9)</x:f>
        <x:v>2981.15</x:v>
      </x:c>
      <x:c r="O9" s="37" t="n">
        <x:f>Assumptions!$C$22 + A9*Assumptions!$C$23</x:f>
        <x:v>105</x:v>
      </x:c>
      <x:c r="P9" s="37" t="n">
        <x:f>Assumptions!$C$24 + A9*Assumptions!$C$25</x:f>
        <x:v>90</x:v>
      </x:c>
      <x:c r="Q9" s="37" t="n">
        <x:f>Assumptions!$C$26 + A9*Assumptions!$C$27</x:f>
        <x:v>190</x:v>
      </x:c>
      <x:c r="R9" s="37" t="n">
        <x:f>Assumptions!$C$28 + A9*Assumptions!$C$29</x:f>
        <x:v>210</x:v>
      </x:c>
      <x:c r="S9" s="37" t="n">
        <x:f>Assumptions!$C$30 + A9*Assumptions!$C$31</x:f>
        <x:v>700</x:v>
      </x:c>
      <x:c r="T9" s="37" t="n">
        <x:f>Assumptions!$C$32 + MAX(0,(H9+A9*4)-Assumptions!$C$33)*Assumptions!$C$34</x:f>
        <x:v>90</x:v>
      </x:c>
      <x:c r="U9" s="37" t="n">
        <x:f>SUM(O9:T9)</x:f>
        <x:v>1385</x:v>
      </x:c>
      <x:c r="V9" s="37" t="n">
        <x:f>(N9+U9)*Assumptions!$C$37</x:f>
        <x:v>873.23</x:v>
      </x:c>
      <x:c r="W9" s="37" t="n">
        <x:f>N9+U9+V9</x:f>
        <x:v>5239.379999999999</x:v>
      </x:c>
      <x:c r="X9" s="36" t="n">
        <x:f>IF(C9=0,0,(C9-W9)/C9)</x:f>
        <x:v>0.9315113725490195</x:v>
      </x:c>
      <x:c r="Y9" s="37" t="n">
        <x:f>Assumptions!$C$35 + A9*Assumptions!$C$36 + IF(A9&gt;=1000,30000,0) + IF(A9&gt;=3000,50000,0) + IF(A9&gt;=7500,90000,0) + IF(A9&gt;=12500,90000,0)</x:f>
        <x:v>68500</x:v>
      </x:c>
      <x:c r="Z9" s="37" t="n">
        <x:f>W9+Y9</x:f>
        <x:v>73739.38</x:v>
      </x:c>
      <x:c r="AA9" s="37" t="n">
        <x:f>C9-D9-Z9</x:f>
        <x:v>182.11999999999534</x:v>
      </x:c>
    </x:row>
    <x:row r="10">
      <x:c r="A10" s="34" t="n">
        <x:v>1500</x:v>
      </x:c>
      <x:c r="B10" s="34" t="n">
        <x:f>ROUND(A10*Assumptions!$C$8,0)</x:f>
        <x:v>525</x:v>
      </x:c>
      <x:c r="C10" s="37" t="n">
        <x:f>A10*(Assumptions!$C$4+Assumptions!$C$5)</x:f>
        <x:v>114750</x:v>
      </x:c>
      <x:c r="D10" s="37" t="n">
        <x:f>C10*Assumptions!$C$6 + A10*Assumptions!$C$7</x:f>
        <x:v>3867.75</x:v>
      </x:c>
      <x:c r="E10" s="37" t="n">
        <x:f>C10-D10</x:f>
        <x:v>110882.25</x:v>
      </x:c>
      <x:c r="F10" s="34" t="n">
        <x:f>IF(B10=0,0,MIN(B10*Assumptions!$C$10,ROUND((B10*Assumptions!$C$10)^Assumptions!$C$11*1.4,0)))</x:f>
        <x:v>2193</x:v>
      </x:c>
      <x:c r="G10" s="34" t="n">
        <x:f>ROUND(F10*Assumptions!$C$12*Assumptions!$C$13,0)</x:f>
        <x:v>14474</x:v>
      </x:c>
      <x:c r="H10" s="34" t="n">
        <x:f>ROUND(A10*Assumptions!$C$9*30,0)</x:f>
        <x:v>33750</x:v>
      </x:c>
      <x:c r="I10" s="37" t="n">
        <x:f>H10*Assumptions!$C$17</x:f>
        <x:v>1856.25</x:v>
      </x:c>
      <x:c r="J10" s="37" t="n">
        <x:f>A10*Assumptions!$C$14*Assumptions!$C$18</x:f>
        <x:v>787.5000000000001</x:v>
      </x:c>
      <x:c r="K10" s="37" t="n">
        <x:f>A10*Assumptions!$C$15*Assumptions!$C$19</x:f>
        <x:v>510.00000000000006</x:v>
      </x:c>
      <x:c r="L10" s="37" t="n">
        <x:f>G10*Assumptions!$C$20</x:f>
        <x:v>1085.55</x:v>
      </x:c>
      <x:c r="M10" s="37" t="n">
        <x:f>A10*Assumptions!$C$16*Assumptions!$C$21</x:f>
        <x:v>150</x:v>
      </x:c>
      <x:c r="N10" s="37" t="n">
        <x:f>SUM(I10:M10)</x:f>
        <x:v>4389.3</x:v>
      </x:c>
      <x:c r="O10" s="37" t="n">
        <x:f>Assumptions!$C$22 + A10*Assumptions!$C$23</x:f>
        <x:v>145</x:v>
      </x:c>
      <x:c r="P10" s="37" t="n">
        <x:f>Assumptions!$C$24 + A10*Assumptions!$C$25</x:f>
        <x:v>115</x:v>
      </x:c>
      <x:c r="Q10" s="37" t="n">
        <x:f>Assumptions!$C$26 + A10*Assumptions!$C$27</x:f>
        <x:v>235</x:v>
      </x:c>
      <x:c r="R10" s="37" t="n">
        <x:f>Assumptions!$C$28 + A10*Assumptions!$C$29</x:f>
        <x:v>240</x:v>
      </x:c>
      <x:c r="S10" s="37" t="n">
        <x:f>Assumptions!$C$30 + A10*Assumptions!$C$31</x:f>
        <x:v>800</x:v>
      </x:c>
      <x:c r="T10" s="37" t="n">
        <x:f>Assumptions!$C$32 + MAX(0,(H10+A10*4)-Assumptions!$C$33)*Assumptions!$C$34</x:f>
        <x:v>90</x:v>
      </x:c>
      <x:c r="U10" s="37" t="n">
        <x:f>SUM(O10:T10)</x:f>
        <x:v>1625</x:v>
      </x:c>
      <x:c r="V10" s="37" t="n">
        <x:f>(N10+U10)*Assumptions!$C$37</x:f>
        <x:v>1202.8600000000001</x:v>
      </x:c>
      <x:c r="W10" s="37" t="n">
        <x:f>N10+U10+V10</x:f>
        <x:v>7217.16</x:v>
      </x:c>
      <x:c r="X10" s="36" t="n">
        <x:f>IF(C10=0,0,(C10-W10)/C10)</x:f>
        <x:v>0.9371053594771241</x:v>
      </x:c>
      <x:c r="Y10" s="37" t="n">
        <x:f>Assumptions!$C$35 + A10*Assumptions!$C$36 + IF(A10&gt;=1000,30000,0) + IF(A10&gt;=3000,50000,0) + IF(A10&gt;=7500,90000,0) + IF(A10&gt;=12500,90000,0)</x:f>
        <x:v>70250</x:v>
      </x:c>
      <x:c r="Z10" s="37" t="n">
        <x:f>W10+Y10</x:f>
        <x:v>77467.16</x:v>
      </x:c>
      <x:c r="AA10" s="37" t="n">
        <x:f>C10-D10-Z10</x:f>
        <x:v>33415.09</x:v>
      </x:c>
    </x:row>
    <x:row r="11">
      <x:c r="A11" s="34" t="n">
        <x:v>2000</x:v>
      </x:c>
      <x:c r="B11" s="34" t="n">
        <x:f>ROUND(A11*Assumptions!$C$8,0)</x:f>
        <x:v>700</x:v>
      </x:c>
      <x:c r="C11" s="37" t="n">
        <x:f>A11*(Assumptions!$C$4+Assumptions!$C$5)</x:f>
        <x:v>153000</x:v>
      </x:c>
      <x:c r="D11" s="37" t="n">
        <x:f>C11*Assumptions!$C$6 + A11*Assumptions!$C$7</x:f>
        <x:v>5157</x:v>
      </x:c>
      <x:c r="E11" s="37" t="n">
        <x:f>C11-D11</x:f>
        <x:v>147843</x:v>
      </x:c>
      <x:c r="F11" s="34" t="n">
        <x:f>IF(B11=0,0,MIN(B11*Assumptions!$C$10,ROUND((B11*Assumptions!$C$10)^Assumptions!$C$11*1.4,0)))</x:f>
        <x:v>2777</x:v>
      </x:c>
      <x:c r="G11" s="34" t="n">
        <x:f>ROUND(F11*Assumptions!$C$12*Assumptions!$C$13,0)</x:f>
        <x:v>18328</x:v>
      </x:c>
      <x:c r="H11" s="34" t="n">
        <x:f>ROUND(A11*Assumptions!$C$9*30,0)</x:f>
        <x:v>45000</x:v>
      </x:c>
      <x:c r="I11" s="37" t="n">
        <x:f>H11*Assumptions!$C$17</x:f>
        <x:v>2475</x:v>
      </x:c>
      <x:c r="J11" s="37" t="n">
        <x:f>A11*Assumptions!$C$14*Assumptions!$C$18</x:f>
        <x:v>1050</x:v>
      </x:c>
      <x:c r="K11" s="37" t="n">
        <x:f>A11*Assumptions!$C$15*Assumptions!$C$19</x:f>
        <x:v>680</x:v>
      </x:c>
      <x:c r="L11" s="37" t="n">
        <x:f>G11*Assumptions!$C$20</x:f>
        <x:v>1374.6</x:v>
      </x:c>
      <x:c r="M11" s="37" t="n">
        <x:f>A11*Assumptions!$C$16*Assumptions!$C$21</x:f>
        <x:v>200</x:v>
      </x:c>
      <x:c r="N11" s="37" t="n">
        <x:f>SUM(I11:M11)</x:f>
        <x:v>5779.6</x:v>
      </x:c>
      <x:c r="O11" s="37" t="n">
        <x:f>Assumptions!$C$22 + A11*Assumptions!$C$23</x:f>
        <x:v>185</x:v>
      </x:c>
      <x:c r="P11" s="37" t="n">
        <x:f>Assumptions!$C$24 + A11*Assumptions!$C$25</x:f>
        <x:v>140</x:v>
      </x:c>
      <x:c r="Q11" s="37" t="n">
        <x:f>Assumptions!$C$26 + A11*Assumptions!$C$27</x:f>
        <x:v>280</x:v>
      </x:c>
      <x:c r="R11" s="37" t="n">
        <x:f>Assumptions!$C$28 + A11*Assumptions!$C$29</x:f>
        <x:v>270</x:v>
      </x:c>
      <x:c r="S11" s="37" t="n">
        <x:f>Assumptions!$C$30 + A11*Assumptions!$C$31</x:f>
        <x:v>900</x:v>
      </x:c>
      <x:c r="T11" s="37" t="n">
        <x:f>Assumptions!$C$32 + MAX(0,(H11+A11*4)-Assumptions!$C$33)*Assumptions!$C$34</x:f>
        <x:v>90</x:v>
      </x:c>
      <x:c r="U11" s="37" t="n">
        <x:f>SUM(O11:T11)</x:f>
        <x:v>1865</x:v>
      </x:c>
      <x:c r="V11" s="37" t="n">
        <x:f>(N11+U11)*Assumptions!$C$37</x:f>
        <x:v>1528.92</x:v>
      </x:c>
      <x:c r="W11" s="37" t="n">
        <x:f>N11+U11+V11</x:f>
        <x:v>9173.52</x:v>
      </x:c>
      <x:c r="X11" s="36" t="n">
        <x:f>IF(C11=0,0,(C11-W11)/C11)</x:f>
        <x:v>0.9400423529411766</x:v>
      </x:c>
      <x:c r="Y11" s="37" t="n">
        <x:f>Assumptions!$C$35 + A11*Assumptions!$C$36 + IF(A11&gt;=1000,30000,0) + IF(A11&gt;=3000,50000,0) + IF(A11&gt;=7500,90000,0) + IF(A11&gt;=12500,90000,0)</x:f>
        <x:v>72000</x:v>
      </x:c>
      <x:c r="Z11" s="37" t="n">
        <x:f>W11+Y11</x:f>
        <x:v>81173.52</x:v>
      </x:c>
      <x:c r="AA11" s="37" t="n">
        <x:f>C11-D11-Z11</x:f>
        <x:v>66669.48</x:v>
      </x:c>
    </x:row>
    <x:row r="12">
      <x:c r="A12" s="34" t="n">
        <x:v>3000</x:v>
      </x:c>
      <x:c r="B12" s="34" t="n">
        <x:f>ROUND(A12*Assumptions!$C$8,0)</x:f>
        <x:v>1050</x:v>
      </x:c>
      <x:c r="C12" s="37" t="n">
        <x:f>A12*(Assumptions!$C$4+Assumptions!$C$5)</x:f>
        <x:v>229500</x:v>
      </x:c>
      <x:c r="D12" s="37" t="n">
        <x:f>C12*Assumptions!$C$6 + A12*Assumptions!$C$7</x:f>
        <x:v>7735.5</x:v>
      </x:c>
      <x:c r="E12" s="37" t="n">
        <x:f>C12-D12</x:f>
        <x:v>221764.5</x:v>
      </x:c>
      <x:c r="F12" s="34" t="n">
        <x:f>IF(B12=0,0,MIN(B12*Assumptions!$C$10,ROUND((B12*Assumptions!$C$10)^Assumptions!$C$11*1.4,0)))</x:f>
        <x:v>3872</x:v>
      </x:c>
      <x:c r="G12" s="34" t="n">
        <x:f>ROUND(F12*Assumptions!$C$12*Assumptions!$C$13,0)</x:f>
        <x:v>25555</x:v>
      </x:c>
      <x:c r="H12" s="34" t="n">
        <x:f>ROUND(A12*Assumptions!$C$9*30,0)</x:f>
        <x:v>67500</x:v>
      </x:c>
      <x:c r="I12" s="37" t="n">
        <x:f>H12*Assumptions!$C$17</x:f>
        <x:v>3712.5</x:v>
      </x:c>
      <x:c r="J12" s="37" t="n">
        <x:f>A12*Assumptions!$C$14*Assumptions!$C$18</x:f>
        <x:v>1575.0000000000002</x:v>
      </x:c>
      <x:c r="K12" s="37" t="n">
        <x:f>A12*Assumptions!$C$15*Assumptions!$C$19</x:f>
        <x:v>1020.0000000000001</x:v>
      </x:c>
      <x:c r="L12" s="37" t="n">
        <x:f>G12*Assumptions!$C$20</x:f>
        <x:v>1916.625</x:v>
      </x:c>
      <x:c r="M12" s="37" t="n">
        <x:f>A12*Assumptions!$C$16*Assumptions!$C$21</x:f>
        <x:v>300</x:v>
      </x:c>
      <x:c r="N12" s="37" t="n">
        <x:f>SUM(I12:M12)</x:f>
        <x:v>8524.125</x:v>
      </x:c>
      <x:c r="O12" s="37" t="n">
        <x:f>Assumptions!$C$22 + A12*Assumptions!$C$23</x:f>
        <x:v>265</x:v>
      </x:c>
      <x:c r="P12" s="37" t="n">
        <x:f>Assumptions!$C$24 + A12*Assumptions!$C$25</x:f>
        <x:v>190</x:v>
      </x:c>
      <x:c r="Q12" s="37" t="n">
        <x:f>Assumptions!$C$26 + A12*Assumptions!$C$27</x:f>
        <x:v>370</x:v>
      </x:c>
      <x:c r="R12" s="37" t="n">
        <x:f>Assumptions!$C$28 + A12*Assumptions!$C$29</x:f>
        <x:v>330</x:v>
      </x:c>
      <x:c r="S12" s="37" t="n">
        <x:f>Assumptions!$C$30 + A12*Assumptions!$C$31</x:f>
        <x:v>1100</x:v>
      </x:c>
      <x:c r="T12" s="37" t="n">
        <x:f>Assumptions!$C$32 + MAX(0,(H12+A12*4)-Assumptions!$C$33)*Assumptions!$C$34</x:f>
        <x:v>90</x:v>
      </x:c>
      <x:c r="U12" s="37" t="n">
        <x:f>SUM(O12:T12)</x:f>
        <x:v>2345</x:v>
      </x:c>
      <x:c r="V12" s="37" t="n">
        <x:f>(N12+U12)*Assumptions!$C$37</x:f>
        <x:v>2173.8250000000003</x:v>
      </x:c>
      <x:c r="W12" s="37" t="n">
        <x:f>N12+U12+V12</x:f>
        <x:v>13042.95</x:v>
      </x:c>
      <x:c r="X12" s="36" t="n">
        <x:f>IF(C12=0,0,(C12-W12)/C12)</x:f>
        <x:v>0.9431679738562091</x:v>
      </x:c>
      <x:c r="Y12" s="37" t="n">
        <x:f>Assumptions!$C$35 + A12*Assumptions!$C$36 + IF(A12&gt;=1000,30000,0) + IF(A12&gt;=3000,50000,0) + IF(A12&gt;=7500,90000,0) + IF(A12&gt;=12500,90000,0)</x:f>
        <x:v>125500</x:v>
      </x:c>
      <x:c r="Z12" s="37" t="n">
        <x:f>W12+Y12</x:f>
        <x:v>138542.95</x:v>
      </x:c>
      <x:c r="AA12" s="37" t="n">
        <x:f>C12-D12-Z12</x:f>
        <x:v>83221.54999999999</x:v>
      </x:c>
    </x:row>
    <x:row r="13">
      <x:c r="A13" s="34" t="n">
        <x:v>5000</x:v>
      </x:c>
      <x:c r="B13" s="34" t="n">
        <x:f>ROUND(A13*Assumptions!$C$8,0)</x:f>
        <x:v>1750</x:v>
      </x:c>
      <x:c r="C13" s="37" t="n">
        <x:f>A13*(Assumptions!$C$4+Assumptions!$C$5)</x:f>
        <x:v>382500</x:v>
      </x:c>
      <x:c r="D13" s="37" t="n">
        <x:f>C13*Assumptions!$C$6 + A13*Assumptions!$C$7</x:f>
        <x:v>12892.5</x:v>
      </x:c>
      <x:c r="E13" s="37" t="n">
        <x:f>C13-D13</x:f>
        <x:v>369607.5</x:v>
      </x:c>
      <x:c r="F13" s="34" t="n">
        <x:f>IF(B13=0,0,MIN(B13*Assumptions!$C$10,ROUND((B13*Assumptions!$C$10)^Assumptions!$C$11*1.4,0)))</x:f>
        <x:v>5886</x:v>
      </x:c>
      <x:c r="G13" s="34" t="n">
        <x:f>ROUND(F13*Assumptions!$C$12*Assumptions!$C$13,0)</x:f>
        <x:v>38848</x:v>
      </x:c>
      <x:c r="H13" s="34" t="n">
        <x:f>ROUND(A13*Assumptions!$C$9*30,0)</x:f>
        <x:v>112500</x:v>
      </x:c>
      <x:c r="I13" s="37" t="n">
        <x:f>H13*Assumptions!$C$17</x:f>
        <x:v>6187.5</x:v>
      </x:c>
      <x:c r="J13" s="37" t="n">
        <x:f>A13*Assumptions!$C$14*Assumptions!$C$18</x:f>
        <x:v>2625.0000000000005</x:v>
      </x:c>
      <x:c r="K13" s="37" t="n">
        <x:f>A13*Assumptions!$C$15*Assumptions!$C$19</x:f>
        <x:v>1700.0000000000002</x:v>
      </x:c>
      <x:c r="L13" s="37" t="n">
        <x:f>G13*Assumptions!$C$20</x:f>
        <x:v>2913.6</x:v>
      </x:c>
      <x:c r="M13" s="37" t="n">
        <x:f>A13*Assumptions!$C$16*Assumptions!$C$21</x:f>
        <x:v>500</x:v>
      </x:c>
      <x:c r="N13" s="37" t="n">
        <x:f>SUM(I13:M13)</x:f>
        <x:v>13926.1</x:v>
      </x:c>
      <x:c r="O13" s="37" t="n">
        <x:f>Assumptions!$C$22 + A13*Assumptions!$C$23</x:f>
        <x:v>425</x:v>
      </x:c>
      <x:c r="P13" s="37" t="n">
        <x:f>Assumptions!$C$24 + A13*Assumptions!$C$25</x:f>
        <x:v>290</x:v>
      </x:c>
      <x:c r="Q13" s="37" t="n">
        <x:f>Assumptions!$C$26 + A13*Assumptions!$C$27</x:f>
        <x:v>550</x:v>
      </x:c>
      <x:c r="R13" s="37" t="n">
        <x:f>Assumptions!$C$28 + A13*Assumptions!$C$29</x:f>
        <x:v>450</x:v>
      </x:c>
      <x:c r="S13" s="37" t="n">
        <x:f>Assumptions!$C$30 + A13*Assumptions!$C$31</x:f>
        <x:v>1500</x:v>
      </x:c>
      <x:c r="T13" s="37" t="n">
        <x:f>Assumptions!$C$32 + MAX(0,(H13+A13*4)-Assumptions!$C$33)*Assumptions!$C$34</x:f>
        <x:v>119.25</x:v>
      </x:c>
      <x:c r="U13" s="37" t="n">
        <x:f>SUM(O13:T13)</x:f>
        <x:v>3334.25</x:v>
      </x:c>
      <x:c r="V13" s="37" t="n">
        <x:f>(N13+U13)*Assumptions!$C$37</x:f>
        <x:v>3452.0699999999997</x:v>
      </x:c>
      <x:c r="W13" s="37" t="n">
        <x:f>N13+U13+V13</x:f>
        <x:v>20712.42</x:v>
      </x:c>
      <x:c r="X13" s="36" t="n">
        <x:f>IF(C13=0,0,(C13-W13)/C13)</x:f>
        <x:v>0.9458498823529412</x:v>
      </x:c>
      <x:c r="Y13" s="37" t="n">
        <x:f>Assumptions!$C$35 + A13*Assumptions!$C$36 + IF(A13&gt;=1000,30000,0) + IF(A13&gt;=3000,50000,0) + IF(A13&gt;=7500,90000,0) + IF(A13&gt;=12500,90000,0)</x:f>
        <x:v>132500</x:v>
      </x:c>
      <x:c r="Z13" s="37" t="n">
        <x:f>W13+Y13</x:f>
        <x:v>153212.41999999998</x:v>
      </x:c>
      <x:c r="AA13" s="37" t="n">
        <x:f>C13-D13-Z13</x:f>
        <x:v>216395.08000000002</x:v>
      </x:c>
    </x:row>
    <x:row r="14">
      <x:c r="A14" s="34" t="n">
        <x:v>7500</x:v>
      </x:c>
      <x:c r="B14" s="34" t="n">
        <x:f>ROUND(A14*Assumptions!$C$8,0)</x:f>
        <x:v>2625</x:v>
      </x:c>
      <x:c r="C14" s="37" t="n">
        <x:f>A14*(Assumptions!$C$4+Assumptions!$C$5)</x:f>
        <x:v>573750</x:v>
      </x:c>
      <x:c r="D14" s="37" t="n">
        <x:f>C14*Assumptions!$C$6 + A14*Assumptions!$C$7</x:f>
        <x:v>19338.75</x:v>
      </x:c>
      <x:c r="E14" s="37" t="n">
        <x:f>C14-D14</x:f>
        <x:v>554411.25</x:v>
      </x:c>
      <x:c r="F14" s="34" t="n">
        <x:f>IF(B14=0,0,MIN(B14*Assumptions!$C$10,ROUND((B14*Assumptions!$C$10)^Assumptions!$C$11*1.4,0)))</x:f>
        <x:v>8207</x:v>
      </x:c>
      <x:c r="G14" s="34" t="n">
        <x:f>ROUND(F14*Assumptions!$C$12*Assumptions!$C$13,0)</x:f>
        <x:v>54166</x:v>
      </x:c>
      <x:c r="H14" s="34" t="n">
        <x:f>ROUND(A14*Assumptions!$C$9*30,0)</x:f>
        <x:v>168750</x:v>
      </x:c>
      <x:c r="I14" s="37" t="n">
        <x:f>H14*Assumptions!$C$17</x:f>
        <x:v>9281.25</x:v>
      </x:c>
      <x:c r="J14" s="37" t="n">
        <x:f>A14*Assumptions!$C$14*Assumptions!$C$18</x:f>
        <x:v>3937.5000000000005</x:v>
      </x:c>
      <x:c r="K14" s="37" t="n">
        <x:f>A14*Assumptions!$C$15*Assumptions!$C$19</x:f>
        <x:v>2550</x:v>
      </x:c>
      <x:c r="L14" s="37" t="n">
        <x:f>G14*Assumptions!$C$20</x:f>
        <x:v>4062.45</x:v>
      </x:c>
      <x:c r="M14" s="37" t="n">
        <x:f>A14*Assumptions!$C$16*Assumptions!$C$21</x:f>
        <x:v>750</x:v>
      </x:c>
      <x:c r="N14" s="37" t="n">
        <x:f>SUM(I14:M14)</x:f>
        <x:v>20581.2</x:v>
      </x:c>
      <x:c r="O14" s="37" t="n">
        <x:f>Assumptions!$C$22 + A14*Assumptions!$C$23</x:f>
        <x:v>625</x:v>
      </x:c>
      <x:c r="P14" s="37" t="n">
        <x:f>Assumptions!$C$24 + A14*Assumptions!$C$25</x:f>
        <x:v>415</x:v>
      </x:c>
      <x:c r="Q14" s="37" t="n">
        <x:f>Assumptions!$C$26 + A14*Assumptions!$C$27</x:f>
        <x:v>775</x:v>
      </x:c>
      <x:c r="R14" s="37" t="n">
        <x:f>Assumptions!$C$28 + A14*Assumptions!$C$29</x:f>
        <x:v>600</x:v>
      </x:c>
      <x:c r="S14" s="37" t="n">
        <x:f>Assumptions!$C$30 + A14*Assumptions!$C$31</x:f>
        <x:v>2000</x:v>
      </x:c>
      <x:c r="T14" s="37" t="n">
        <x:f>Assumptions!$C$32 + MAX(0,(H14+A14*4)-Assumptions!$C$33)*Assumptions!$C$34</x:f>
        <x:v>178.875</x:v>
      </x:c>
      <x:c r="U14" s="37" t="n">
        <x:f>SUM(O14:T14)</x:f>
        <x:v>4593.875</x:v>
      </x:c>
      <x:c r="V14" s="37" t="n">
        <x:f>(N14+U14)*Assumptions!$C$37</x:f>
        <x:v>5035.015</x:v>
      </x:c>
      <x:c r="W14" s="37" t="n">
        <x:f>N14+U14+V14</x:f>
        <x:v>30210.09</x:v>
      </x:c>
      <x:c r="X14" s="36" t="n">
        <x:f>IF(C14=0,0,(C14-W14)/C14)</x:f>
        <x:v>0.9473462483660131</x:v>
      </x:c>
      <x:c r="Y14" s="37" t="n">
        <x:f>Assumptions!$C$35 + A14*Assumptions!$C$36 + IF(A14&gt;=1000,30000,0) + IF(A14&gt;=3000,50000,0) + IF(A14&gt;=7500,90000,0) + IF(A14&gt;=12500,90000,0)</x:f>
        <x:v>231250</x:v>
      </x:c>
      <x:c r="Z14" s="37" t="n">
        <x:f>W14+Y14</x:f>
        <x:v>261460.09</x:v>
      </x:c>
      <x:c r="AA14" s="37" t="n">
        <x:f>C14-D14-Z14</x:f>
        <x:v>292951.16000000003</x:v>
      </x:c>
    </x:row>
    <x:row r="15">
      <x:c r="A15" s="34" t="n">
        <x:v>10000</x:v>
      </x:c>
      <x:c r="B15" s="34" t="n">
        <x:f>ROUND(A15*Assumptions!$C$8,0)</x:f>
        <x:v>3500</x:v>
      </x:c>
      <x:c r="C15" s="37" t="n">
        <x:f>A15*(Assumptions!$C$4+Assumptions!$C$5)</x:f>
        <x:v>765000</x:v>
      </x:c>
      <x:c r="D15" s="37" t="n">
        <x:f>C15*Assumptions!$C$6 + A15*Assumptions!$C$7</x:f>
        <x:v>25785</x:v>
      </x:c>
      <x:c r="E15" s="37" t="n">
        <x:f>C15-D15</x:f>
        <x:v>739215</x:v>
      </x:c>
      <x:c r="F15" s="34" t="n">
        <x:f>IF(B15=0,0,MIN(B15*Assumptions!$C$10,ROUND((B15*Assumptions!$C$10)^Assumptions!$C$11*1.4,0)))</x:f>
        <x:v>10391</x:v>
      </x:c>
      <x:c r="G15" s="34" t="n">
        <x:f>ROUND(F15*Assumptions!$C$12*Assumptions!$C$13,0)</x:f>
        <x:v>68581</x:v>
      </x:c>
      <x:c r="H15" s="34" t="n">
        <x:f>ROUND(A15*Assumptions!$C$9*30,0)</x:f>
        <x:v>225000</x:v>
      </x:c>
      <x:c r="I15" s="37" t="n">
        <x:f>H15*Assumptions!$C$17</x:f>
        <x:v>12375</x:v>
      </x:c>
      <x:c r="J15" s="37" t="n">
        <x:f>A15*Assumptions!$C$14*Assumptions!$C$18</x:f>
        <x:v>5250.000000000001</x:v>
      </x:c>
      <x:c r="K15" s="37" t="n">
        <x:f>A15*Assumptions!$C$15*Assumptions!$C$19</x:f>
        <x:v>3400.0000000000005</x:v>
      </x:c>
      <x:c r="L15" s="37" t="n">
        <x:f>G15*Assumptions!$C$20</x:f>
        <x:v>5143.575</x:v>
      </x:c>
      <x:c r="M15" s="37" t="n">
        <x:f>A15*Assumptions!$C$16*Assumptions!$C$21</x:f>
        <x:v>1000</x:v>
      </x:c>
      <x:c r="N15" s="37" t="n">
        <x:f>SUM(I15:M15)</x:f>
        <x:v>27168.575</x:v>
      </x:c>
      <x:c r="O15" s="37" t="n">
        <x:f>Assumptions!$C$22 + A15*Assumptions!$C$23</x:f>
        <x:v>825</x:v>
      </x:c>
      <x:c r="P15" s="37" t="n">
        <x:f>Assumptions!$C$24 + A15*Assumptions!$C$25</x:f>
        <x:v>540</x:v>
      </x:c>
      <x:c r="Q15" s="37" t="n">
        <x:f>Assumptions!$C$26 + A15*Assumptions!$C$27</x:f>
        <x:v>1000</x:v>
      </x:c>
      <x:c r="R15" s="37" t="n">
        <x:f>Assumptions!$C$28 + A15*Assumptions!$C$29</x:f>
        <x:v>750</x:v>
      </x:c>
      <x:c r="S15" s="37" t="n">
        <x:f>Assumptions!$C$30 + A15*Assumptions!$C$31</x:f>
        <x:v>2500</x:v>
      </x:c>
      <x:c r="T15" s="37" t="n">
        <x:f>Assumptions!$C$32 + MAX(0,(H15+A15*4)-Assumptions!$C$33)*Assumptions!$C$34</x:f>
        <x:v>238.5</x:v>
      </x:c>
      <x:c r="U15" s="37" t="n">
        <x:f>SUM(O15:T15)</x:f>
        <x:v>5853.5</x:v>
      </x:c>
      <x:c r="V15" s="37" t="n">
        <x:f>(N15+U15)*Assumptions!$C$37</x:f>
        <x:v>6604.415</x:v>
      </x:c>
      <x:c r="W15" s="37" t="n">
        <x:f>N15+U15+V15</x:f>
        <x:v>39626.49</x:v>
      </x:c>
      <x:c r="X15" s="36" t="n">
        <x:f>IF(C15=0,0,(C15-W15)/C15)</x:f>
        <x:v>0.9482006666666667</x:v>
      </x:c>
      <x:c r="Y15" s="37" t="n">
        <x:f>Assumptions!$C$35 + A15*Assumptions!$C$36 + IF(A15&gt;=1000,30000,0) + IF(A15&gt;=3000,50000,0) + IF(A15&gt;=7500,90000,0) + IF(A15&gt;=12500,90000,0)</x:f>
        <x:v>240000</x:v>
      </x:c>
      <x:c r="Z15" s="37" t="n">
        <x:f>W15+Y15</x:f>
        <x:v>279626.49</x:v>
      </x:c>
      <x:c r="AA15" s="37" t="n">
        <x:f>C15-D15-Z15</x:f>
        <x:v>459588.51</x:v>
      </x:c>
    </x:row>
    <x:row r="16">
      <x:c r="A16" s="34" t="n">
        <x:v>12500</x:v>
      </x:c>
      <x:c r="B16" s="34" t="n">
        <x:f>ROUND(A16*Assumptions!$C$8,0)</x:f>
        <x:v>4375</x:v>
      </x:c>
      <x:c r="C16" s="37" t="n">
        <x:f>A16*(Assumptions!$C$4+Assumptions!$C$5)</x:f>
        <x:v>956250</x:v>
      </x:c>
      <x:c r="D16" s="37" t="n">
        <x:f>C16*Assumptions!$C$6 + A16*Assumptions!$C$7</x:f>
        <x:v>32231.25</x:v>
      </x:c>
      <x:c r="E16" s="37" t="n">
        <x:f>C16-D16</x:f>
        <x:v>924018.75</x:v>
      </x:c>
      <x:c r="F16" s="34" t="n">
        <x:f>IF(B16=0,0,MIN(B16*Assumptions!$C$10,ROUND((B16*Assumptions!$C$10)^Assumptions!$C$11*1.4,0)))</x:f>
        <x:v>12477</x:v>
      </x:c>
      <x:c r="G16" s="34" t="n">
        <x:f>ROUND(F16*Assumptions!$C$12*Assumptions!$C$13,0)</x:f>
        <x:v>82348</x:v>
      </x:c>
      <x:c r="H16" s="34" t="n">
        <x:f>ROUND(A16*Assumptions!$C$9*30,0)</x:f>
        <x:v>281250</x:v>
      </x:c>
      <x:c r="I16" s="37" t="n">
        <x:f>H16*Assumptions!$C$17</x:f>
        <x:v>15468.75</x:v>
      </x:c>
      <x:c r="J16" s="37" t="n">
        <x:f>A16*Assumptions!$C$14*Assumptions!$C$18</x:f>
        <x:v>6562.500000000001</x:v>
      </x:c>
      <x:c r="K16" s="37" t="n">
        <x:f>A16*Assumptions!$C$15*Assumptions!$C$19</x:f>
        <x:v>4250</x:v>
      </x:c>
      <x:c r="L16" s="37" t="n">
        <x:f>G16*Assumptions!$C$20</x:f>
        <x:v>6176.099999999999</x:v>
      </x:c>
      <x:c r="M16" s="37" t="n">
        <x:f>A16*Assumptions!$C$16*Assumptions!$C$21</x:f>
        <x:v>1250</x:v>
      </x:c>
      <x:c r="N16" s="37" t="n">
        <x:f>SUM(I16:M16)</x:f>
        <x:v>33707.35</x:v>
      </x:c>
      <x:c r="O16" s="37" t="n">
        <x:f>Assumptions!$C$22 + A16*Assumptions!$C$23</x:f>
        <x:v>1025</x:v>
      </x:c>
      <x:c r="P16" s="37" t="n">
        <x:f>Assumptions!$C$24 + A16*Assumptions!$C$25</x:f>
        <x:v>665</x:v>
      </x:c>
      <x:c r="Q16" s="37" t="n">
        <x:f>Assumptions!$C$26 + A16*Assumptions!$C$27</x:f>
        <x:v>1225</x:v>
      </x:c>
      <x:c r="R16" s="37" t="n">
        <x:f>Assumptions!$C$28 + A16*Assumptions!$C$29</x:f>
        <x:v>900</x:v>
      </x:c>
      <x:c r="S16" s="37" t="n">
        <x:f>Assumptions!$C$30 + A16*Assumptions!$C$31</x:f>
        <x:v>3000</x:v>
      </x:c>
      <x:c r="T16" s="37" t="n">
        <x:f>Assumptions!$C$32 + MAX(0,(H16+A16*4)-Assumptions!$C$33)*Assumptions!$C$34</x:f>
        <x:v>298.125</x:v>
      </x:c>
      <x:c r="U16" s="37" t="n">
        <x:f>SUM(O16:T16)</x:f>
        <x:v>7113.125</x:v>
      </x:c>
      <x:c r="V16" s="37" t="n">
        <x:f>(N16+U16)*Assumptions!$C$37</x:f>
        <x:v>8164.095</x:v>
      </x:c>
      <x:c r="W16" s="37" t="n">
        <x:f>N16+U16+V16</x:f>
        <x:v>48984.57</x:v>
      </x:c>
      <x:c r="X16" s="36" t="n">
        <x:f>IF(C16=0,0,(C16-W16)/C16)</x:f>
        <x:v>0.948774305882353</x:v>
      </x:c>
      <x:c r="Y16" s="37" t="n">
        <x:f>Assumptions!$C$35 + A16*Assumptions!$C$36 + IF(A16&gt;=1000,30000,0) + IF(A16&gt;=3000,50000,0) + IF(A16&gt;=7500,90000,0) + IF(A16&gt;=12500,90000,0)</x:f>
        <x:v>338750</x:v>
      </x:c>
      <x:c r="Z16" s="37" t="n">
        <x:f>W16+Y16</x:f>
        <x:v>387734.57</x:v>
      </x:c>
      <x:c r="AA16" s="37" t="n">
        <x:f>C16-D16-Z16</x:f>
        <x:v>536284.1799999999</x:v>
      </x:c>
    </x:row>
    <x:row r="17">
      <x:c r="A17" s="34" t="n">
        <x:v>15000</x:v>
      </x:c>
      <x:c r="B17" s="34" t="n">
        <x:f>ROUND(A17*Assumptions!$C$8,0)</x:f>
        <x:v>5250</x:v>
      </x:c>
      <x:c r="C17" s="37" t="n">
        <x:f>A17*(Assumptions!$C$4+Assumptions!$C$5)</x:f>
        <x:v>1147500</x:v>
      </x:c>
      <x:c r="D17" s="37" t="n">
        <x:f>C17*Assumptions!$C$6 + A17*Assumptions!$C$7</x:f>
        <x:v>38677.5</x:v>
      </x:c>
      <x:c r="E17" s="37" t="n">
        <x:f>C17-D17</x:f>
        <x:v>1108822.5</x:v>
      </x:c>
      <x:c r="F17" s="34" t="n">
        <x:f>IF(B17=0,0,MIN(B17*Assumptions!$C$10,ROUND((B17*Assumptions!$C$10)^Assumptions!$C$11*1.4,0)))</x:f>
        <x:v>14490</x:v>
      </x:c>
      <x:c r="G17" s="34" t="n">
        <x:f>ROUND(F17*Assumptions!$C$12*Assumptions!$C$13,0)</x:f>
        <x:v>95634</x:v>
      </x:c>
      <x:c r="H17" s="34" t="n">
        <x:f>ROUND(A17*Assumptions!$C$9*30,0)</x:f>
        <x:v>337500</x:v>
      </x:c>
      <x:c r="I17" s="37" t="n">
        <x:f>H17*Assumptions!$C$17</x:f>
        <x:v>18562.5</x:v>
      </x:c>
      <x:c r="J17" s="37" t="n">
        <x:f>A17*Assumptions!$C$14*Assumptions!$C$18</x:f>
        <x:v>7875.000000000001</x:v>
      </x:c>
      <x:c r="K17" s="37" t="n">
        <x:f>A17*Assumptions!$C$15*Assumptions!$C$19</x:f>
        <x:v>5100</x:v>
      </x:c>
      <x:c r="L17" s="37" t="n">
        <x:f>G17*Assumptions!$C$20</x:f>
        <x:v>7172.55</x:v>
      </x:c>
      <x:c r="M17" s="37" t="n">
        <x:f>A17*Assumptions!$C$16*Assumptions!$C$21</x:f>
        <x:v>1500</x:v>
      </x:c>
      <x:c r="N17" s="37" t="n">
        <x:f>SUM(I17:M17)</x:f>
        <x:v>40210.05</x:v>
      </x:c>
      <x:c r="O17" s="37" t="n">
        <x:f>Assumptions!$C$22 + A17*Assumptions!$C$23</x:f>
        <x:v>1225</x:v>
      </x:c>
      <x:c r="P17" s="37" t="n">
        <x:f>Assumptions!$C$24 + A17*Assumptions!$C$25</x:f>
        <x:v>790</x:v>
      </x:c>
      <x:c r="Q17" s="37" t="n">
        <x:f>Assumptions!$C$26 + A17*Assumptions!$C$27</x:f>
        <x:v>1450</x:v>
      </x:c>
      <x:c r="R17" s="37" t="n">
        <x:f>Assumptions!$C$28 + A17*Assumptions!$C$29</x:f>
        <x:v>1050</x:v>
      </x:c>
      <x:c r="S17" s="37" t="n">
        <x:f>Assumptions!$C$30 + A17*Assumptions!$C$31</x:f>
        <x:v>3500</x:v>
      </x:c>
      <x:c r="T17" s="37" t="n">
        <x:f>Assumptions!$C$32 + MAX(0,(H17+A17*4)-Assumptions!$C$33)*Assumptions!$C$34</x:f>
        <x:v>357.75</x:v>
      </x:c>
      <x:c r="U17" s="37" t="n">
        <x:f>SUM(O17:T17)</x:f>
        <x:v>8372.75</x:v>
      </x:c>
      <x:c r="V17" s="37" t="n">
        <x:f>(N17+U17)*Assumptions!$C$37</x:f>
        <x:v>9716.560000000001</x:v>
      </x:c>
      <x:c r="W17" s="37" t="n">
        <x:f>N17+U17+V17</x:f>
        <x:v>58299.36</x:v>
      </x:c>
      <x:c r="X17" s="36" t="n">
        <x:f>IF(C17=0,0,(C17-W17)/C17)</x:f>
        <x:v>0.9491944575163398</x:v>
      </x:c>
      <x:c r="Y17" s="37" t="n">
        <x:f>Assumptions!$C$35 + A17*Assumptions!$C$36 + IF(A17&gt;=1000,30000,0) + IF(A17&gt;=3000,50000,0) + IF(A17&gt;=7500,90000,0) + IF(A17&gt;=12500,90000,0)</x:f>
        <x:v>347500</x:v>
      </x:c>
      <x:c r="Z17" s="37" t="n">
        <x:f>W17+Y17</x:f>
        <x:v>405799.36</x:v>
      </x:c>
      <x:c r="AA17" s="37" t="n">
        <x:f>C17-D17-Z17</x:f>
        <x:v>703023.14</x:v>
      </x:c>
    </x:row>
  </x:sheetData>
  <x:mergeCells>
    <x:mergeCell ref="A1:Z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210000038146973" hidden="0" customWidth="1"/>
    <x:col min="2" max="2" width="30.280000686645508" hidden="0" customWidth="1"/>
    <x:col min="3" max="3" width="13.460000038146973" hidden="0" customWidth="1"/>
    <x:col min="4" max="4" width="16.81999969482422" hidden="0" customWidth="1"/>
    <x:col min="5" max="5" width="57.20000076293945" hidden="0" customWidth="1"/>
    <x:col min="6" max="6" width="10.09000015258789" hidden="0" customWidth="1"/>
  </x:cols>
  <x:sheetData>
    <x:row r="1" ht="25.5" customHeight="1">
      <x:c r="A1" s="41" t="str">
        <x:v>SaaS Cost Simulation Assumptions</x:v>
      </x:c>
      <x:c r="B1" s="41" t="str">
        <x:v>SaaS Cost Simulation Assumptions</x:v>
      </x:c>
      <x:c r="C1" s="41" t="str">
        <x:v>SaaS Cost Simulation Assumptions</x:v>
      </x:c>
      <x:c r="D1" s="41" t="str">
        <x:v>SaaS Cost Simulation Assumptions</x:v>
      </x:c>
      <x:c r="E1" s="41" t="str">
        <x:v>SaaS Cost Simulation Assumptions</x:v>
      </x:c>
      <x:c r="F1" s="41" t="str">
        <x:v>SaaS Cost Simulation Assumptions</x:v>
      </x:c>
    </x:row>
    <x:row r="2">
      <x:c r="A2" s="32"/>
      <x:c r="B2" s="32"/>
      <x:c r="C2" s="32"/>
      <x:c r="D2" s="32"/>
      <x:c r="E2" s="32"/>
      <x:c r="F2" s="32"/>
    </x:row>
    <x:row r="3">
      <x:c r="A3" s="33" t="str">
        <x:v>Category</x:v>
      </x:c>
      <x:c r="B3" s="33" t="str">
        <x:v>Assumption</x:v>
      </x:c>
      <x:c r="C3" s="33" t="str">
        <x:v>Base Value</x:v>
      </x:c>
      <x:c r="D3" s="33" t="str">
        <x:v>Unit</x:v>
      </x:c>
      <x:c r="E3" s="33" t="str">
        <x:v>Rationale</x:v>
      </x:c>
      <x:c r="F3" s="33" t="str">
        <x:v>Editable</x:v>
      </x:c>
    </x:row>
    <x:row r="4">
      <x:c r="A4" s="34" t="str">
        <x:v>Commercial</x:v>
      </x:c>
      <x:c r="B4" s="34" t="str">
        <x:v>Blended subscription ARPU</x:v>
      </x:c>
      <x:c r="C4" s="40" t="n">
        <x:v>68.5</x:v>
      </x:c>
      <x:c r="D4" s="34" t="str">
        <x:v>$ / paying user / month</x:v>
      </x:c>
      <x:c r="E4" s="34" t="str">
        <x:v>Weighted across Starter, Pro, Agency plans before credit purchases.</x:v>
      </x:c>
      <x:c r="F4" s="34" t="str">
        <x:v>Yes</x:v>
      </x:c>
    </x:row>
    <x:row r="5">
      <x:c r="A5" s="34" t="str">
        <x:v>Commercial</x:v>
      </x:c>
      <x:c r="B5" s="34" t="str">
        <x:v>Average paid credit revenue</x:v>
      </x:c>
      <x:c r="C5" s="40" t="n">
        <x:v>8</x:v>
      </x:c>
      <x:c r="D5" s="34" t="str">
        <x:v>$ / paying user / month</x:v>
      </x:c>
      <x:c r="E5" s="34" t="str">
        <x:v>Extra AI/image credits purchased beyond plan allowance.</x:v>
      </x:c>
      <x:c r="F5" s="34" t="str">
        <x:v>Yes</x:v>
      </x:c>
    </x:row>
    <x:row r="6">
      <x:c r="A6" s="34" t="str">
        <x:v>Commercial</x:v>
      </x:c>
      <x:c r="B6" s="34" t="str">
        <x:v>Stripe variable fee</x:v>
      </x:c>
      <x:c r="C6" s="40" t="n">
        <x:v>0.029</x:v>
      </x:c>
      <x:c r="D6" s="34" t="str">
        <x:v>% of revenue</x:v>
      </x:c>
      <x:c r="E6" s="34" t="str">
        <x:v>Standard domestic card fee assumption.</x:v>
      </x:c>
      <x:c r="F6" s="34" t="str">
        <x:v>Yes</x:v>
      </x:c>
    </x:row>
    <x:row r="7">
      <x:c r="A7" s="34" t="str">
        <x:v>Commercial</x:v>
      </x:c>
      <x:c r="B7" s="34" t="str">
        <x:v>Stripe fixed fee per user</x:v>
      </x:c>
      <x:c r="C7" s="40" t="n">
        <x:v>0.36</x:v>
      </x:c>
      <x:c r="D7" s="34" t="str">
        <x:v>$ / user / month</x:v>
      </x:c>
      <x:c r="E7" s="34" t="str">
        <x:v>Assumes one subscription charge plus some credit purchase activity.</x:v>
      </x:c>
      <x:c r="F7" s="34" t="str">
        <x:v>Yes</x:v>
      </x:c>
    </x:row>
    <x:row r="8">
      <x:c r="A8" s="34" t="str">
        <x:v>Usage</x:v>
      </x:c>
      <x:c r="B8" s="34" t="str">
        <x:v>Monthly active usage ratio</x:v>
      </x:c>
      <x:c r="C8" s="40" t="n">
        <x:v>0.35</x:v>
      </x:c>
      <x:c r="D8" s="34" t="str">
        <x:v>% of paying users</x:v>
      </x:c>
      <x:c r="E8" s="34" t="str">
        <x:v>Active enough to trigger meaningful research/generation usage.</x:v>
      </x:c>
      <x:c r="F8" s="34" t="str">
        <x:v>Yes</x:v>
      </x:c>
    </x:row>
    <x:row r="9">
      <x:c r="A9" s="34" t="str">
        <x:v>Usage</x:v>
      </x:c>
      <x:c r="B9" s="34" t="str">
        <x:v>Daily report enabled ratio</x:v>
      </x:c>
      <x:c r="C9" s="40" t="n">
        <x:v>0.75</x:v>
      </x:c>
      <x:c r="D9" s="34" t="str">
        <x:v>% of paying users</x:v>
      </x:c>
      <x:c r="E9" s="34" t="str">
        <x:v>Many users keep daily reports on; can be tuned by plan.</x:v>
      </x:c>
      <x:c r="F9" s="34" t="str">
        <x:v>Yes</x:v>
      </x:c>
    </x:row>
    <x:row r="10">
      <x:c r="A10" s="34" t="str">
        <x:v>Usage</x:v>
      </x:c>
      <x:c r="B10" s="34" t="str">
        <x:v>Average competitor channels tracked</x:v>
      </x:c>
      <x:c r="C10" s="40" t="n">
        <x:v>15</x:v>
      </x:c>
      <x:c r="D10" s="34" t="str">
        <x:v>channels / user</x:v>
      </x:c>
      <x:c r="E10" s="34" t="str">
        <x:v>Below 25-channel maximum after mixed plan adoption.</x:v>
      </x:c>
      <x:c r="F10" s="34" t="str">
        <x:v>Yes</x:v>
      </x:c>
    </x:row>
    <x:row r="11">
      <x:c r="A11" s="34" t="str">
        <x:v>Usage</x:v>
      </x:c>
      <x:c r="B11" s="34" t="str">
        <x:v>Channel dedupe exponent</x:v>
      </x:c>
      <x:c r="C11" s="40" t="n">
        <x:v>0.82</x:v>
      </x:c>
      <x:c r="D11" s="34" t="str">
        <x:v>curve exponent</x:v>
      </x:c>
      <x:c r="E11" s="34" t="str">
        <x:v>Global channel cache: popular competitors overlap across users.</x:v>
      </x:c>
      <x:c r="F11" s="34" t="str">
        <x:v>Yes</x:v>
      </x:c>
    </x:row>
    <x:row r="12">
      <x:c r="A12" s="34" t="str">
        <x:v>Usage</x:v>
      </x:c>
      <x:c r="B12" s="34" t="str">
        <x:v>Upload frequency per competitor channel</x:v>
      </x:c>
      <x:c r="C12" s="40" t="n">
        <x:v>12</x:v>
      </x:c>
      <x:c r="D12" s="34" t="str">
        <x:v>videos / channel / month</x:v>
      </x:c>
      <x:c r="E12" s="34" t="str">
        <x:v>AI/marketing channels often post weekly to several times weekly.</x:v>
      </x:c>
      <x:c r="F12" s="34" t="str">
        <x:v>Yes</x:v>
      </x:c>
    </x:row>
    <x:row r="13">
      <x:c r="A13" s="34" t="str">
        <x:v>Usage</x:v>
      </x:c>
      <x:c r="B13" s="34" t="str">
        <x:v>Transcript coverage</x:v>
      </x:c>
      <x:c r="C13" s="40" t="n">
        <x:v>0.55</x:v>
      </x:c>
      <x:c r="D13" s="34" t="str">
        <x:v>% of videos</x:v>
      </x:c>
      <x:c r="E13" s="34" t="str">
        <x:v>Not every competitor video has compliant/available transcripts.</x:v>
      </x:c>
      <x:c r="F13" s="34" t="str">
        <x:v>Yes</x:v>
      </x:c>
    </x:row>
    <x:row r="14">
      <x:c r="A14" s="34" t="str">
        <x:v>Usage</x:v>
      </x:c>
      <x:c r="B14" s="34" t="str">
        <x:v>Outlines generated</x:v>
      </x:c>
      <x:c r="C14" s="40" t="n">
        <x:v>15</x:v>
      </x:c>
      <x:c r="D14" s="34" t="str">
        <x:v>per user / month</x:v>
      </x:c>
      <x:c r="E14" s="34" t="str">
        <x:v>Structured-outline-first workflow.</x:v>
      </x:c>
      <x:c r="F14" s="34" t="str">
        <x:v>Yes</x:v>
      </x:c>
    </x:row>
    <x:row r="15">
      <x:c r="A15" s="34" t="str">
        <x:v>Usage</x:v>
      </x:c>
      <x:c r="B15" s="34" t="str">
        <x:v>Thumbnail image generations</x:v>
      </x:c>
      <x:c r="C15" s="40" t="n">
        <x:v>4</x:v>
      </x:c>
      <x:c r="D15" s="34" t="str">
        <x:v>per user / month</x:v>
      </x:c>
      <x:c r="E15" s="34" t="str">
        <x:v>Credit-metered thumbnail creation.</x:v>
      </x:c>
      <x:c r="F15" s="34" t="str">
        <x:v>Yes</x:v>
      </x:c>
    </x:row>
    <x:row r="16">
      <x:c r="A16" s="34" t="str">
        <x:v>Usage</x:v>
      </x:c>
      <x:c r="B16" s="34" t="str">
        <x:v>PDF/DOCX exports</x:v>
      </x:c>
      <x:c r="C16" s="40" t="n">
        <x:v>5</x:v>
      </x:c>
      <x:c r="D16" s="34" t="str">
        <x:v>per user / month</x:v>
      </x:c>
      <x:c r="E16" s="34" t="str">
        <x:v>Reports and content briefs exported on demand.</x:v>
      </x:c>
      <x:c r="F16" s="34" t="str">
        <x:v>Yes</x:v>
      </x:c>
    </x:row>
    <x:row r="17">
      <x:c r="A17" s="34" t="str">
        <x:v>AI Unit Cost</x:v>
      </x:c>
      <x:c r="B17" s="34" t="str">
        <x:v>Daily report LLM cost</x:v>
      </x:c>
      <x:c r="C17" s="40" t="n">
        <x:v>0.055</x:v>
      </x:c>
      <x:c r="D17" s="34" t="str">
        <x:v>$ / report</x:v>
      </x:c>
      <x:c r="E17" s="34" t="str">
        <x:v>Deep daily strategy report with clustering, recommendations, and quality reserve.</x:v>
      </x:c>
      <x:c r="F17" s="34" t="str">
        <x:v>Yes</x:v>
      </x:c>
    </x:row>
    <x:row r="18">
      <x:c r="A18" s="34" t="str">
        <x:v>AI Unit Cost</x:v>
      </x:c>
      <x:c r="B18" s="34" t="str">
        <x:v>Outline/writing LLM cost</x:v>
      </x:c>
      <x:c r="C18" s="40" t="n">
        <x:v>0.035</x:v>
      </x:c>
      <x:c r="D18" s="34" t="str">
        <x:v>$ / outline</x:v>
      </x:c>
      <x:c r="E18" s="34" t="str">
        <x:v>Structured outline, hooks, titles, captions, and revision reserve.</x:v>
      </x:c>
      <x:c r="F18" s="34" t="str">
        <x:v>Yes</x:v>
      </x:c>
    </x:row>
    <x:row r="19">
      <x:c r="A19" s="34" t="str">
        <x:v>AI Unit Cost</x:v>
      </x:c>
      <x:c r="B19" s="34" t="str">
        <x:v>Thumbnail generation cost</x:v>
      </x:c>
      <x:c r="C19" s="40" t="n">
        <x:v>0.085</x:v>
      </x:c>
      <x:c r="D19" s="34" t="str">
        <x:v>$ / image</x:v>
      </x:c>
      <x:c r="E19" s="34" t="str">
        <x:v>Blended image model cost including retries and moderation failures.</x:v>
      </x:c>
      <x:c r="F19" s="34" t="str">
        <x:v>Yes</x:v>
      </x:c>
    </x:row>
    <x:row r="20">
      <x:c r="A20" s="34" t="str">
        <x:v>AI Unit Cost</x:v>
      </x:c>
      <x:c r="B20" s="34" t="str">
        <x:v>Transcript acquisition + analysis</x:v>
      </x:c>
      <x:c r="C20" s="40" t="n">
        <x:v>0.075</x:v>
      </x:c>
      <x:c r="D20" s="34" t="str">
        <x:v>$ / covered video</x:v>
      </x:c>
      <x:c r="E20" s="34" t="str">
        <x:v>Transcript provider/compliance reserve plus LLM summarization and embedding.</x:v>
      </x:c>
      <x:c r="F20" s="34" t="str">
        <x:v>Yes</x:v>
      </x:c>
    </x:row>
    <x:row r="21">
      <x:c r="A21" s="34" t="str">
        <x:v>AI Unit Cost</x:v>
      </x:c>
      <x:c r="B21" s="34" t="str">
        <x:v>Export generation cost</x:v>
      </x:c>
      <x:c r="C21" s="40" t="n">
        <x:v>0.02</x:v>
      </x:c>
      <x:c r="D21" s="34" t="str">
        <x:v>$ / export</x:v>
      </x:c>
      <x:c r="E21" s="34" t="str">
        <x:v>PDF/DOCX rendering, storage, and bandwidth.</x:v>
      </x:c>
      <x:c r="F21" s="34" t="str">
        <x:v>Yes</x:v>
      </x:c>
    </x:row>
    <x:row r="22">
      <x:c r="A22" s="34" t="str">
        <x:v>Platform</x:v>
      </x:c>
      <x:c r="B22" s="34" t="str">
        <x:v>Supabase base</x:v>
      </x:c>
      <x:c r="C22" s="40" t="n">
        <x:v>25</x:v>
      </x:c>
      <x:c r="D22" s="34" t="str">
        <x:v>$ / month</x:v>
      </x:c>
      <x:c r="E22" s="34" t="str">
        <x:v>Pro project baseline before compute/storage growth.</x:v>
      </x:c>
      <x:c r="F22" s="34" t="str">
        <x:v>Yes</x:v>
      </x:c>
    </x:row>
    <x:row r="23">
      <x:c r="A23" s="34" t="str">
        <x:v>Platform</x:v>
      </x:c>
      <x:c r="B23" s="34" t="str">
        <x:v>Supabase variable</x:v>
      </x:c>
      <x:c r="C23" s="40" t="n">
        <x:v>0.08</x:v>
      </x:c>
      <x:c r="D23" s="34" t="str">
        <x:v>$ / user / month</x:v>
      </x:c>
      <x:c r="E23" s="34" t="str">
        <x:v>Database, storage, egress, backups, vector usage reserve.</x:v>
      </x:c>
      <x:c r="F23" s="34" t="str">
        <x:v>Yes</x:v>
      </x:c>
    </x:row>
    <x:row r="24">
      <x:c r="A24" s="34" t="str">
        <x:v>Platform</x:v>
      </x:c>
      <x:c r="B24" s="34" t="str">
        <x:v>Vercel base</x:v>
      </x:c>
      <x:c r="C24" s="40" t="n">
        <x:v>40</x:v>
      </x:c>
      <x:c r="D24" s="34" t="str">
        <x:v>$ / month</x:v>
      </x:c>
      <x:c r="E24" s="34" t="str">
        <x:v>Two Pro seats baseline.</x:v>
      </x:c>
      <x:c r="F24" s="34" t="str">
        <x:v>Yes</x:v>
      </x:c>
    </x:row>
    <x:row r="25">
      <x:c r="A25" s="34" t="str">
        <x:v>Platform</x:v>
      </x:c>
      <x:c r="B25" s="34" t="str">
        <x:v>Vercel variable</x:v>
      </x:c>
      <x:c r="C25" s="40" t="n">
        <x:v>0.05</x:v>
      </x:c>
      <x:c r="D25" s="34" t="str">
        <x:v>$ / user / month</x:v>
      </x:c>
      <x:c r="E25" s="34" t="str">
        <x:v>Functions, bandwidth, build/runtime reserve.</x:v>
      </x:c>
      <x:c r="F25" s="34" t="str">
        <x:v>Yes</x:v>
      </x:c>
    </x:row>
    <x:row r="26">
      <x:c r="A26" s="34" t="str">
        <x:v>Platform</x:v>
      </x:c>
      <x:c r="B26" s="34" t="str">
        <x:v>Queue/cron base</x:v>
      </x:c>
      <x:c r="C26" s="40" t="n">
        <x:v>100</x:v>
      </x:c>
      <x:c r="D26" s="34" t="str">
        <x:v>$ / month</x:v>
      </x:c>
      <x:c r="E26" s="34" t="str">
        <x:v>Inngest/Trigger-style scheduled jobs and workers.</x:v>
      </x:c>
      <x:c r="F26" s="34" t="str">
        <x:v>Yes</x:v>
      </x:c>
    </x:row>
    <x:row r="27">
      <x:c r="A27" s="34" t="str">
        <x:v>Platform</x:v>
      </x:c>
      <x:c r="B27" s="34" t="str">
        <x:v>Queue/cron variable</x:v>
      </x:c>
      <x:c r="C27" s="40" t="n">
        <x:v>0.09</x:v>
      </x:c>
      <x:c r="D27" s="34" t="str">
        <x:v>$ / user / month</x:v>
      </x:c>
      <x:c r="E27" s="34" t="str">
        <x:v>Daily research jobs, retries, fanout.</x:v>
      </x:c>
      <x:c r="F27" s="34" t="str">
        <x:v>Yes</x:v>
      </x:c>
    </x:row>
    <x:row r="28">
      <x:c r="A28" s="34" t="str">
        <x:v>Platform</x:v>
      </x:c>
      <x:c r="B28" s="34" t="str">
        <x:v>Monitoring/admin base</x:v>
      </x:c>
      <x:c r="C28" s="40" t="n">
        <x:v>150</x:v>
      </x:c>
      <x:c r="D28" s="34" t="str">
        <x:v>$ / month</x:v>
      </x:c>
      <x:c r="E28" s="34" t="str">
        <x:v>Sentry/PostHog/logging/admin tooling baseline.</x:v>
      </x:c>
      <x:c r="F28" s="34" t="str">
        <x:v>Yes</x:v>
      </x:c>
    </x:row>
    <x:row r="29">
      <x:c r="A29" s="34" t="str">
        <x:v>Platform</x:v>
      </x:c>
      <x:c r="B29" s="34" t="str">
        <x:v>Monitoring/admin variable</x:v>
      </x:c>
      <x:c r="C29" s="40" t="n">
        <x:v>0.06</x:v>
      </x:c>
      <x:c r="D29" s="34" t="str">
        <x:v>$ / user / month</x:v>
      </x:c>
      <x:c r="E29" s="34" t="str">
        <x:v>Events, traces, logs, feature flags, admin activity.</x:v>
      </x:c>
      <x:c r="F29" s="34" t="str">
        <x:v>Yes</x:v>
      </x:c>
    </x:row>
    <x:row r="30">
      <x:c r="A30" s="34" t="str">
        <x:v>Platform</x:v>
      </x:c>
      <x:c r="B30" s="34" t="str">
        <x:v>YouTube data/quota reserve base</x:v>
      </x:c>
      <x:c r="C30" s="40" t="n">
        <x:v>500</x:v>
      </x:c>
      <x:c r="D30" s="34" t="str">
        <x:v>$ / month</x:v>
      </x:c>
      <x:c r="E30" s="34" t="str">
        <x:v>Quota application, supplemental data, proxy/compliance reserve.</x:v>
      </x:c>
      <x:c r="F30" s="34" t="str">
        <x:v>Yes</x:v>
      </x:c>
    </x:row>
    <x:row r="31">
      <x:c r="A31" s="34" t="str">
        <x:v>Platform</x:v>
      </x:c>
      <x:c r="B31" s="34" t="str">
        <x:v>YouTube data/quota reserve variable</x:v>
      </x:c>
      <x:c r="C31" s="40" t="n">
        <x:v>0.2</x:v>
      </x:c>
      <x:c r="D31" s="34" t="str">
        <x:v>$ / user / month</x:v>
      </x:c>
      <x:c r="E31" s="34" t="str">
        <x:v>Higher refresh volume, quota expansion, source discovery.</x:v>
      </x:c>
      <x:c r="F31" s="34" t="str">
        <x:v>Yes</x:v>
      </x:c>
    </x:row>
    <x:row r="32">
      <x:c r="A32" s="34" t="str">
        <x:v>Platform</x:v>
      </x:c>
      <x:c r="B32" s="34" t="str">
        <x:v>Resend base</x:v>
      </x:c>
      <x:c r="C32" s="40" t="n">
        <x:v>90</x:v>
      </x:c>
      <x:c r="D32" s="34" t="str">
        <x:v>$ / month</x:v>
      </x:c>
      <x:c r="E32" s="34" t="str">
        <x:v>Scale plan includes 100k emails/month.</x:v>
      </x:c>
      <x:c r="F32" s="34" t="str">
        <x:v>Yes</x:v>
      </x:c>
    </x:row>
    <x:row r="33">
      <x:c r="A33" s="34" t="str">
        <x:v>Platform</x:v>
      </x:c>
      <x:c r="B33" s="34" t="str">
        <x:v>Included Resend emails</x:v>
      </x:c>
      <x:c r="C33" s="40" t="n">
        <x:v>100000</x:v>
      </x:c>
      <x:c r="D33" s="34" t="str">
        <x:v>emails / month</x:v>
      </x:c>
      <x:c r="E33" s="34" t="str">
        <x:v>Scale plan included volume.</x:v>
      </x:c>
      <x:c r="F33" s="34" t="str">
        <x:v>Yes</x:v>
      </x:c>
    </x:row>
    <x:row r="34">
      <x:c r="A34" s="34" t="str">
        <x:v>Platform</x:v>
      </x:c>
      <x:c r="B34" s="34" t="str">
        <x:v>Resend overage</x:v>
      </x:c>
      <x:c r="C34" s="40" t="n">
        <x:v>0.0009</x:v>
      </x:c>
      <x:c r="D34" s="34" t="str">
        <x:v>$ / email</x:v>
      </x:c>
      <x:c r="E34" s="34" t="str">
        <x:v>$0.90 per 1,000 emails.</x:v>
      </x:c>
      <x:c r="F34" s="34" t="str">
        <x:v>Yes</x:v>
      </x:c>
    </x:row>
    <x:row r="35">
      <x:c r="A35" s="34" t="str">
        <x:v>Team</x:v>
      </x:c>
      <x:c r="B35" s="34" t="str">
        <x:v>Base team payroll/contractors</x:v>
      </x:c>
      <x:c r="C35" s="40" t="n">
        <x:v>35000</x:v>
      </x:c>
      <x:c r="D35" s="34" t="str">
        <x:v>$ / month</x:v>
      </x:c>
      <x:c r="E35" s="34" t="str">
        <x:v>Serious SaaS ops baseline: engineering, support, QA/content ops blend.</x:v>
      </x:c>
      <x:c r="F35" s="34" t="str">
        <x:v>Yes</x:v>
      </x:c>
    </x:row>
    <x:row r="36">
      <x:c r="A36" s="34" t="str">
        <x:v>Team</x:v>
      </x:c>
      <x:c r="B36" s="34" t="str">
        <x:v>Support variable</x:v>
      </x:c>
      <x:c r="C36" s="40" t="n">
        <x:v>3.5</x:v>
      </x:c>
      <x:c r="D36" s="34" t="str">
        <x:v>$ / user / month</x:v>
      </x:c>
      <x:c r="E36" s="34" t="str">
        <x:v>Support, abuse review, customer success, source curation.</x:v>
      </x:c>
      <x:c r="F36" s="34" t="str">
        <x:v>Yes</x:v>
      </x:c>
    </x:row>
    <x:row r="37">
      <x:c r="A37" s="34" t="str">
        <x:v>Risk</x:v>
      </x:c>
      <x:c r="B37" s="34" t="str">
        <x:v>COGS contingency</x:v>
      </x:c>
      <x:c r="C37" s="40" t="n">
        <x:v>0.2</x:v>
      </x:c>
      <x:c r="D37" s="34" t="str">
        <x:v>% of infra + AI COGS</x:v>
      </x:c>
      <x:c r="E37" s="34" t="str">
        <x:v>Runaway jobs, model price drift, retries, abuse, quota failures.</x:v>
      </x:c>
      <x:c r="F37" s="34" t="str">
        <x:v>Yes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51.81999969482422" hidden="0" customWidth="1"/>
    <x:col min="3" max="3" width="51.81999969482422" hidden="0" customWidth="1"/>
    <x:col min="4" max="4" width="28.940000534057617" hidden="0" customWidth="1"/>
  </x:cols>
  <x:sheetData>
    <x:row r="1" ht="25.5" customHeight="1">
      <x:c r="A1" s="41" t="str">
        <x:v>Clarifying Questions Before PRD and Specs</x:v>
      </x:c>
      <x:c r="B1" s="41" t="str">
        <x:v>Clarifying Questions Before PRD and Specs</x:v>
      </x:c>
      <x:c r="C1" s="41" t="str">
        <x:v>Clarifying Questions Before PRD and Specs</x:v>
      </x:c>
      <x:c r="D1" s="41" t="str">
        <x:v>Clarifying Questions Before PRD and Specs</x:v>
      </x:c>
    </x:row>
    <x:row r="2">
      <x:c r="A2" s="32"/>
      <x:c r="B2" s="32"/>
      <x:c r="C2" s="32"/>
      <x:c r="D2" s="32"/>
    </x:row>
    <x:row r="3">
      <x:c r="A3" s="33" t="str">
        <x:v>Area</x:v>
      </x:c>
      <x:c r="B3" s="33" t="str">
        <x:v>Question</x:v>
      </x:c>
      <x:c r="C3" s="33" t="str">
        <x:v>Why It Matters</x:v>
      </x:c>
      <x:c r="D3" s="33" t="str">
        <x:v>Decision Needed</x:v>
      </x:c>
    </x:row>
    <x:row r="4">
      <x:c r="A4" s="34" t="str">
        <x:v>Target customer</x:v>
      </x:c>
      <x:c r="B4" s="34" t="str">
        <x:v>Who is the first paying customer: solo creators, agencies, course sellers, B2B SaaS marketers, or consultants?</x:v>
      </x:c>
      <x:c r="C4" s="34" t="str">
        <x:v>This changes onboarding, pricing, reports, templates, and how deep team/workspace features need to be.</x:v>
      </x:c>
      <x:c r="D4" s="34" t="str">
        <x:v>Pick one primary ICP for v1.</x:v>
      </x:c>
    </x:row>
    <x:row r="5">
      <x:c r="A5" s="34" t="str">
        <x:v>Data compliance</x:v>
      </x:c>
      <x:c r="B5" s="34" t="str">
        <x:v>Are you willing to use third-party YouTube/transcript data providers, or must v1 rely only on official APIs and user-provided data?</x:v>
      </x:c>
      <x:c r="C5" s="34" t="str">
        <x:v>Transcript analysis at scale is the biggest compliance and reliability risk.</x:v>
      </x:c>
      <x:c r="D5" s="34" t="str">
        <x:v>Choose official-only, provider-assisted, or hybrid.</x:v>
      </x:c>
    </x:row>
    <x:row r="6">
      <x:c r="A6" s="34" t="str">
        <x:v>Report depth</x:v>
      </x:c>
      <x:c r="B6" s="34" t="str">
        <x:v>Should daily reports be brief executive recommendations or long research dossiers?</x:v>
      </x:c>
      <x:c r="C6" s="34" t="str">
        <x:v>LLM cost, perceived value, and email/export size depend on this.</x:v>
      </x:c>
      <x:c r="D6" s="34" t="str">
        <x:v>Define report format and max length.</x:v>
      </x:c>
    </x:row>
    <x:row r="7">
      <x:c r="A7" s="34" t="str">
        <x:v>Credit economy</x:v>
      </x:c>
      <x:c r="B7" s="34" t="str">
        <x:v>Should credits be consumed by every AI action or only expensive actions like deep reports and images?</x:v>
      </x:c>
      <x:c r="C7" s="34" t="str">
        <x:v>This affects margin, user trust, and pricing UX.</x:v>
      </x:c>
      <x:c r="D7" s="34" t="str">
        <x:v>Define credit meter rules.</x:v>
      </x:c>
    </x:row>
    <x:row r="8">
      <x:c r="A8" s="34" t="str">
        <x:v>Thumbnail editor</x:v>
      </x:c>
      <x:c r="B8" s="34" t="str">
        <x:v>Do you need a full Canva-like editor in v1, or generation plus editable templates/export is enough?</x:v>
      </x:c>
      <x:c r="C8" s="34" t="str">
        <x:v>A full editor is a major product surface.</x:v>
      </x:c>
      <x:c r="D8" s="34" t="str">
        <x:v>Choose template editor scope.</x:v>
      </x:c>
    </x:row>
    <x:row r="9">
      <x:c r="A9" s="34" t="str">
        <x:v>News ingestion</x:v>
      </x:c>
      <x:c r="B9" s="34" t="str">
        <x:v>Are sources RSS-friendly, or do we need extraction from pages without feeds?</x:v>
      </x:c>
      <x:c r="C9" s="34" t="str">
        <x:v>Scraping/extraction complexity and monitoring costs vary heavily.</x:v>
      </x:c>
      <x:c r="D9" s="34" t="str">
        <x:v>Provide source list and ingestion type.</x:v>
      </x:c>
    </x:row>
    <x:row r="10">
      <x:c r="A10" s="34" t="str">
        <x:v>Admin operations</x:v>
      </x:c>
      <x:c r="B10" s="34" t="str">
        <x:v>What admin controls are must-have on day one: user impersonation, credit adjustment, job replay, prompt audit, abuse review, billing support?</x:v>
      </x:c>
      <x:c r="C10" s="34" t="str">
        <x:v>Serious SaaS operations need internal tooling, not just user screens.</x:v>
      </x:c>
      <x:c r="D10" s="34" t="str">
        <x:v>Rank admin requirements.</x:v>
      </x:c>
    </x:row>
    <x:row r="11">
      <x:c r="A11" s="34" t="str">
        <x:v>Scale target</x:v>
      </x:c>
      <x:c r="B11" s="34" t="str">
        <x:v>Is 15,000 users the 12-month goal, 24-month goal, or technical design ceiling?</x:v>
      </x:c>
      <x:c r="C11" s="34" t="str">
        <x:v>This changes upfront architecture and spend tolerance.</x:v>
      </x:c>
      <x:c r="D11" s="34" t="str">
        <x:v>Set target timeline.</x:v>
      </x:c>
    </x:row>
    <x:row r="12">
      <x:c r="A12" s="34" t="str">
        <x:v>Plan mix</x:v>
      </x:c>
      <x:c r="B12" s="34" t="str">
        <x:v>What pricing do you want to test: $29/$79/$199, higher, or usage-first?</x:v>
      </x:c>
      <x:c r="C12" s="34" t="str">
        <x:v>ARPU is the biggest lever in the feasibility model.</x:v>
      </x:c>
      <x:c r="D12" s="34" t="str">
        <x:v>Approve or revise pricing.</x:v>
      </x:c>
    </x:row>
    <x:row r="13">
      <x:c r="A13" s="34" t="str">
        <x:v>Data retention</x:v>
      </x:c>
      <x:c r="B13" s="34" t="str">
        <x:v>How long should video snapshots, transcripts, reports, and generated assets be retained?</x:v>
      </x:c>
      <x:c r="C13" s="34" t="str">
        <x:v>Storage, privacy, and retrieval costs depend on retention.</x:v>
      </x:c>
      <x:c r="D13" s="34" t="str">
        <x:v>Define retention by plan.</x:v>
      </x:c>
    </x:row>
    <x:row r="14">
      <x:c r="A14" s="34" t="str">
        <x:v>Source recommendation</x:v>
      </x:c>
      <x:c r="B14" s="34" t="str">
        <x:v>Should the app recommend sources automatically from web search, competitor links, user niche graph, or curated admin lists?</x:v>
      </x:c>
      <x:c r="C14" s="34" t="str">
        <x:v>Automatic discovery adds cost and quality risk.</x:v>
      </x:c>
      <x:c r="D14" s="34" t="str">
        <x:v>Pick source discovery method.</x:v>
      </x:c>
    </x:row>
    <x:row r="15">
      <x:c r="A15" s="34" t="str">
        <x:v>LLM providers</x:v>
      </x:c>
      <x:c r="B15" s="34" t="str">
        <x:v>Do users bring their own keys, or does the SaaS always pay model costs and resell credits?</x:v>
      </x:c>
      <x:c r="C15" s="34" t="str">
        <x:v>BYOK lowers COGS but complicates UX and support.</x:v>
      </x:c>
      <x:c r="D15" s="34" t="str">
        <x:v>Choose managed-only, BYOK, or both.</x:v>
      </x:c>
    </x:row>
  </x:sheetData>
  <x:mergeCells>
    <x:mergeCell ref="A1:D1"/>
  </x:mergeCells>
  <x:pageMargins left="0.7" right="0.7" top="0.75" bottom="0.75" header="0.3" footer="0.3"/>
</x:worksheet>
</file>